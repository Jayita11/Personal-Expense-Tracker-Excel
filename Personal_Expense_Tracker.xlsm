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Ex3.xml" ContentType="application/vnd.ms-office.chartex+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ranit\Desktop\excel_projects\Project1_personal_finance_tracker\Personal Expenses Dashboard Resources\"/>
    </mc:Choice>
  </mc:AlternateContent>
  <xr:revisionPtr revIDLastSave="0" documentId="8_{C1BE7E56-1823-4302-8FD4-104293BB39A5}" xr6:coauthVersionLast="47" xr6:coauthVersionMax="47" xr10:uidLastSave="{00000000-0000-0000-0000-000000000000}"/>
  <bookViews>
    <workbookView xWindow="-108" yWindow="-108" windowWidth="23256" windowHeight="12456" xr2:uid="{65413B0E-DDC6-419D-869E-C7057D34DCD4}"/>
  </bookViews>
  <sheets>
    <sheet name="Dataset" sheetId="1" r:id="rId1"/>
    <sheet name="Dashboard" sheetId="3" r:id="rId2"/>
    <sheet name="Analysis" sheetId="4" r:id="rId3"/>
    <sheet name="Icons" sheetId="2" r:id="rId4"/>
  </sheets>
  <definedNames>
    <definedName name="_xlchart.v1.3" hidden="1">Analysis!$G$5:$G$13</definedName>
    <definedName name="_xlchart.v1.4" hidden="1">Analysis!$H$4</definedName>
    <definedName name="_xlchart.v1.5" hidden="1">Analysis!$H$5:$H$13</definedName>
    <definedName name="_xlchart.v5.0" hidden="1">Analysis!$G$5:$G$13</definedName>
    <definedName name="_xlchart.v5.1" hidden="1">Analysis!$H$4</definedName>
    <definedName name="_xlchart.v5.2" hidden="1">Analysis!$H$5:$H$13</definedName>
    <definedName name="Slicer_Category1">#N/A</definedName>
    <definedName name="Slicer_Month_Number">#N/A</definedName>
  </definedNames>
  <calcPr calcId="191029"/>
  <pivotCaches>
    <pivotCache cacheId="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1" i="4" l="1"/>
  <c r="N82" i="4"/>
  <c r="N83" i="4"/>
  <c r="N84" i="4"/>
  <c r="N85" i="4"/>
  <c r="N86" i="4"/>
  <c r="N87" i="4"/>
  <c r="N88" i="4"/>
  <c r="N89" i="4"/>
  <c r="N90" i="4"/>
  <c r="N80" i="4"/>
  <c r="M110" i="4"/>
  <c r="K3" i="1" l="1"/>
  <c r="K2"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E5" i="4" l="1"/>
  <c r="E4" i="4"/>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alcChain>
</file>

<file path=xl/sharedStrings.xml><?xml version="1.0" encoding="utf-8"?>
<sst xmlns="http://schemas.openxmlformats.org/spreadsheetml/2006/main" count="2071" uniqueCount="101">
  <si>
    <t>Date</t>
  </si>
  <si>
    <t>Description</t>
  </si>
  <si>
    <t>Debit</t>
  </si>
  <si>
    <t>Credit</t>
  </si>
  <si>
    <t>Sub-category</t>
  </si>
  <si>
    <t>Category</t>
  </si>
  <si>
    <t>Category Type</t>
  </si>
  <si>
    <t>Data With Decision</t>
  </si>
  <si>
    <t>Data with Decision</t>
  </si>
  <si>
    <t>Salary</t>
  </si>
  <si>
    <t>Income</t>
  </si>
  <si>
    <t>Drink</t>
  </si>
  <si>
    <t>Coffee</t>
  </si>
  <si>
    <t>Dining Out</t>
  </si>
  <si>
    <t>Expense</t>
  </si>
  <si>
    <t>Estate Mangement</t>
  </si>
  <si>
    <t>Rent</t>
  </si>
  <si>
    <t>Living Expenses</t>
  </si>
  <si>
    <t>Financail upgrade</t>
  </si>
  <si>
    <t>Cash loan</t>
  </si>
  <si>
    <t>Transport</t>
  </si>
  <si>
    <t>Green's</t>
  </si>
  <si>
    <t>Groceries</t>
  </si>
  <si>
    <t>Power source</t>
  </si>
  <si>
    <t>Gas/Electrics</t>
  </si>
  <si>
    <t>Fuel</t>
  </si>
  <si>
    <t>Cinemas</t>
  </si>
  <si>
    <t>Entertainment</t>
  </si>
  <si>
    <t>Discretionary</t>
  </si>
  <si>
    <t>Fashionistas</t>
  </si>
  <si>
    <t>Clothes</t>
  </si>
  <si>
    <t>Burger</t>
  </si>
  <si>
    <t>Restaurant</t>
  </si>
  <si>
    <t>Uba</t>
  </si>
  <si>
    <t>Taxi</t>
  </si>
  <si>
    <t>Onlne earning</t>
  </si>
  <si>
    <t>YouTube</t>
  </si>
  <si>
    <t>Passive</t>
  </si>
  <si>
    <t>Teachable</t>
  </si>
  <si>
    <t>Phone</t>
  </si>
  <si>
    <t>Sallah give away</t>
  </si>
  <si>
    <t>Gifts</t>
  </si>
  <si>
    <t>Online streaming</t>
  </si>
  <si>
    <t>Suya</t>
  </si>
  <si>
    <t>Oha soup/White soup</t>
  </si>
  <si>
    <t>Orphanage</t>
  </si>
  <si>
    <t>Donation</t>
  </si>
  <si>
    <t>Charity</t>
  </si>
  <si>
    <t>Fueling</t>
  </si>
  <si>
    <t>Trainers</t>
  </si>
  <si>
    <t>Hangingout/Ticket</t>
  </si>
  <si>
    <t>Global Fashion</t>
  </si>
  <si>
    <t>Taken medication</t>
  </si>
  <si>
    <t>Doctor</t>
  </si>
  <si>
    <t>Medical</t>
  </si>
  <si>
    <t>Sport ware</t>
  </si>
  <si>
    <t>Foodary</t>
  </si>
  <si>
    <t>Clubing</t>
  </si>
  <si>
    <t>Home décor</t>
  </si>
  <si>
    <t>Furnishings</t>
  </si>
  <si>
    <t>Feedings</t>
  </si>
  <si>
    <t>Month Number</t>
  </si>
  <si>
    <t>Weekday</t>
  </si>
  <si>
    <t>Amount</t>
  </si>
  <si>
    <t xml:space="preserve"> </t>
  </si>
  <si>
    <t>Min</t>
  </si>
  <si>
    <t>Max</t>
  </si>
  <si>
    <t>Grand Total</t>
  </si>
  <si>
    <t>Sum of Amount</t>
  </si>
  <si>
    <t>Sum of Debit</t>
  </si>
  <si>
    <t>Cash inflow, Cash outflow and balance</t>
  </si>
  <si>
    <t>Sum of Credit</t>
  </si>
  <si>
    <t>Source of Income</t>
  </si>
  <si>
    <t>DWD</t>
  </si>
  <si>
    <t>Weekly Analysis</t>
  </si>
  <si>
    <t>KPI Cards</t>
  </si>
  <si>
    <t>Expenses</t>
  </si>
  <si>
    <t>Month Name</t>
  </si>
  <si>
    <t>Jan</t>
  </si>
  <si>
    <t>Feb</t>
  </si>
  <si>
    <t>Mar</t>
  </si>
  <si>
    <t>Apr</t>
  </si>
  <si>
    <t>May</t>
  </si>
  <si>
    <t>Jun</t>
  </si>
  <si>
    <t>Jul</t>
  </si>
  <si>
    <t>Aug</t>
  </si>
  <si>
    <t>Sep</t>
  </si>
  <si>
    <t>Oct</t>
  </si>
  <si>
    <t xml:space="preserve">January </t>
  </si>
  <si>
    <t xml:space="preserve">Febuary </t>
  </si>
  <si>
    <t>March</t>
  </si>
  <si>
    <t>April</t>
  </si>
  <si>
    <t>June</t>
  </si>
  <si>
    <t>July</t>
  </si>
  <si>
    <t>August</t>
  </si>
  <si>
    <t>September</t>
  </si>
  <si>
    <t>October</t>
  </si>
  <si>
    <t>November</t>
  </si>
  <si>
    <t>December</t>
  </si>
  <si>
    <t>Selected Month</t>
  </si>
  <si>
    <t>Back To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</si>
</sst>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d/yy;@"/>
    <numFmt numFmtId="165" formatCode="ddd"/>
    <numFmt numFmtId="166" formatCode="&quot;$&quot;#,##0"/>
    <numFmt numFmtId="167" formatCode="m"/>
  </numFmts>
  <fonts count="5" x14ac:knownFonts="1">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
      <u/>
      <sz val="11"/>
      <color theme="10"/>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1" tint="4.9989318521683403E-2"/>
        <bgColor indexed="64"/>
      </patternFill>
    </fill>
    <fill>
      <patternFill patternType="solid">
        <fgColor theme="1"/>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12">
    <xf numFmtId="0" fontId="0" fillId="0" borderId="0" xfId="0"/>
    <xf numFmtId="164" fontId="0" fillId="0" borderId="0" xfId="0" applyNumberFormat="1"/>
    <xf numFmtId="165" fontId="0" fillId="0" borderId="0" xfId="0" applyNumberFormat="1"/>
    <xf numFmtId="0" fontId="0" fillId="0" borderId="0" xfId="0" pivotButton="1"/>
    <xf numFmtId="0" fontId="0" fillId="2" borderId="1" xfId="0" applyFill="1" applyBorder="1"/>
    <xf numFmtId="166" fontId="0" fillId="0" borderId="0" xfId="0" applyNumberFormat="1"/>
    <xf numFmtId="166" fontId="1" fillId="2" borderId="2" xfId="0" applyNumberFormat="1" applyFont="1" applyFill="1" applyBorder="1"/>
    <xf numFmtId="167" fontId="0" fillId="0" borderId="0" xfId="0" applyNumberFormat="1"/>
    <xf numFmtId="0" fontId="2" fillId="3" borderId="0" xfId="0" applyFont="1" applyFill="1"/>
    <xf numFmtId="0" fontId="0" fillId="0" borderId="3" xfId="0" applyBorder="1"/>
    <xf numFmtId="0" fontId="4" fillId="0" borderId="0" xfId="1"/>
    <xf numFmtId="0" fontId="0" fillId="4" borderId="0" xfId="0" applyFill="1"/>
  </cellXfs>
  <cellStyles count="2">
    <cellStyle name="Hyperlink" xfId="1" builtinId="8"/>
    <cellStyle name="Normal" xfId="0" builtinId="0"/>
  </cellStyles>
  <dxfs count="18">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7" formatCode="m"/>
    </dxf>
    <dxf>
      <numFmt numFmtId="0" formatCode="General"/>
    </dxf>
    <dxf>
      <numFmt numFmtId="165" formatCode="ddd"/>
    </dxf>
    <dxf>
      <numFmt numFmtId="0" formatCode="General"/>
    </dxf>
    <dxf>
      <numFmt numFmtId="164" formatCode="m/d/yy;@"/>
    </dxf>
    <dxf>
      <font>
        <b/>
        <color theme="1"/>
      </font>
      <border>
        <bottom style="thin">
          <color theme="4"/>
        </bottom>
        <vertical/>
        <horizontal/>
      </border>
    </dxf>
    <dxf>
      <font>
        <color theme="1"/>
      </font>
      <fill>
        <patternFill>
          <bgColor rgb="FF2C2C2C"/>
        </patternFill>
      </fill>
      <border diagonalUp="0" diagonalDown="0">
        <left/>
        <right/>
        <top/>
        <bottom/>
        <vertical/>
        <horizontal/>
      </border>
    </dxf>
    <dxf>
      <font>
        <b/>
        <color theme="1"/>
      </font>
      <border>
        <bottom style="thin">
          <color theme="4"/>
        </bottom>
        <vertical/>
        <horizontal/>
      </border>
    </dxf>
    <dxf>
      <font>
        <color theme="1"/>
      </font>
      <fill>
        <patternFill>
          <bgColor rgb="FF2C2C2C"/>
        </patternFill>
      </fill>
      <border diagonalUp="0" diagonalDown="0">
        <left/>
        <right/>
        <top/>
        <bottom/>
        <vertical/>
        <horizontal/>
      </border>
    </dxf>
  </dxfs>
  <tableStyles count="2" defaultTableStyle="TableStyleMedium2" defaultPivotStyle="PivotStyleLight16">
    <tableStyle name="SlicerStyleLight1 2" pivot="0" table="0" count="10" xr9:uid="{66653947-F699-4BB2-947B-F7B638991EB5}">
      <tableStyleElement type="wholeTable" dxfId="17"/>
      <tableStyleElement type="headerRow" dxfId="16"/>
    </tableStyle>
    <tableStyle name="SlicerStyleLight1 2 2" pivot="0" table="0" count="10" xr9:uid="{D594E0AA-8AD8-47E0-A24C-2FE0D5ECB315}">
      <tableStyleElement type="wholeTable" dxfId="15"/>
      <tableStyleElement type="headerRow" dxfId="14"/>
    </tableStyle>
  </tableStyles>
  <colors>
    <mruColors>
      <color rgb="FF5C38FF"/>
      <color rgb="FFFFD058"/>
      <color rgb="FFFF5858"/>
      <color rgb="FF2C2C2C"/>
      <color rgb="FF151515"/>
    </mruColors>
  </colors>
  <extLst>
    <ext xmlns:x14="http://schemas.microsoft.com/office/spreadsheetml/2009/9/main" uri="{46F421CA-312F-682f-3DD2-61675219B42D}">
      <x14:dxfs count="16">
        <dxf>
          <font>
            <b/>
            <i val="0"/>
            <sz val="12"/>
            <color rgb="FF000000"/>
          </font>
          <fill>
            <patternFill patternType="solid">
              <fgColor auto="1"/>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8"/>
            <color rgb="FFFFD058"/>
          </font>
          <fill>
            <patternFill patternType="solid">
              <fgColor auto="1"/>
              <bgColor rgb="FF2C2C2C"/>
            </patternFill>
          </fill>
          <border diagonalUp="0" diagonalDown="0">
            <left/>
            <right/>
            <top/>
            <bottom/>
            <vertical/>
            <horizontal/>
          </border>
        </dxf>
        <dxf>
          <font>
            <b/>
            <i val="0"/>
            <sz val="12"/>
            <color rgb="FFFF5858"/>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0"/>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rgb="FF2C2C2C"/>
            </patternFill>
          </fill>
          <border diagonalUp="0" diagonalDown="0">
            <left/>
            <right/>
            <top/>
            <bottom/>
            <vertical/>
            <horizontal/>
          </border>
        </dxf>
        <dxf>
          <font>
            <sz val="12"/>
            <color rgb="FF000000"/>
          </font>
          <fill>
            <patternFill patternType="solid">
              <fgColor auto="1"/>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8"/>
            <color rgb="FFFFD058"/>
          </font>
          <fill>
            <patternFill patternType="solid">
              <fgColor auto="1"/>
              <bgColor rgb="FF2C2C2C"/>
            </patternFill>
          </fill>
          <border diagonalUp="0" diagonalDown="0">
            <left/>
            <right/>
            <top/>
            <bottom/>
            <vertical/>
            <horizontal/>
          </border>
        </dxf>
        <dxf>
          <font>
            <color rgb="FFFF5858"/>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[Personal_Expense_Tracker.xlsm]Analysis!PivotTable4</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Analysis!$H$17</c:f>
              <c:strCache>
                <c:ptCount val="1"/>
                <c:pt idx="0">
                  <c:v>Total</c:v>
                </c:pt>
              </c:strCache>
            </c:strRef>
          </c:tx>
          <c:spPr>
            <a:solidFill>
              <a:srgbClr val="5C38FF"/>
            </a:solidFill>
            <a:ln>
              <a:noFill/>
            </a:ln>
            <a:effectLst/>
          </c:spPr>
          <c:invertIfNegative val="0"/>
          <c:cat>
            <c:strRef>
              <c:f>Analysis!$G$18:$G$23</c:f>
              <c:strCache>
                <c:ptCount val="5"/>
                <c:pt idx="0">
                  <c:v>Rent</c:v>
                </c:pt>
                <c:pt idx="1">
                  <c:v>Groceries</c:v>
                </c:pt>
                <c:pt idx="2">
                  <c:v>Clothes</c:v>
                </c:pt>
                <c:pt idx="3">
                  <c:v>Entertainment</c:v>
                </c:pt>
                <c:pt idx="4">
                  <c:v>Cash loan</c:v>
                </c:pt>
              </c:strCache>
            </c:strRef>
          </c:cat>
          <c:val>
            <c:numRef>
              <c:f>Analysis!$H$18:$H$23</c:f>
              <c:numCache>
                <c:formatCode>"$"#,##0</c:formatCode>
                <c:ptCount val="5"/>
                <c:pt idx="0">
                  <c:v>9000</c:v>
                </c:pt>
                <c:pt idx="1">
                  <c:v>6454.0999999999995</c:v>
                </c:pt>
                <c:pt idx="2">
                  <c:v>4303.6000000000004</c:v>
                </c:pt>
                <c:pt idx="3">
                  <c:v>1812.5999999999995</c:v>
                </c:pt>
                <c:pt idx="4">
                  <c:v>1500</c:v>
                </c:pt>
              </c:numCache>
            </c:numRef>
          </c:val>
          <c:extLst>
            <c:ext xmlns:c16="http://schemas.microsoft.com/office/drawing/2014/chart" uri="{C3380CC4-5D6E-409C-BE32-E72D297353CC}">
              <c16:uniqueId val="{00000000-16BB-48A1-B1A6-08F850074E18}"/>
            </c:ext>
          </c:extLst>
        </c:ser>
        <c:dLbls>
          <c:showLegendKey val="0"/>
          <c:showVal val="0"/>
          <c:showCatName val="0"/>
          <c:showSerName val="0"/>
          <c:showPercent val="0"/>
          <c:showBubbleSize val="0"/>
        </c:dLbls>
        <c:gapWidth val="182"/>
        <c:overlap val="7"/>
        <c:axId val="522154655"/>
        <c:axId val="522156095"/>
      </c:barChart>
      <c:catAx>
        <c:axId val="522154655"/>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22156095"/>
        <c:crosses val="autoZero"/>
        <c:auto val="1"/>
        <c:lblAlgn val="ctr"/>
        <c:lblOffset val="100"/>
        <c:noMultiLvlLbl val="0"/>
      </c:catAx>
      <c:valAx>
        <c:axId val="522156095"/>
        <c:scaling>
          <c:orientation val="minMax"/>
        </c:scaling>
        <c:delete val="1"/>
        <c:axPos val="t"/>
        <c:numFmt formatCode="&quot;$&quot;#,##0" sourceLinked="1"/>
        <c:majorTickMark val="none"/>
        <c:minorTickMark val="none"/>
        <c:tickLblPos val="nextTo"/>
        <c:crossAx val="522154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22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[Personal_Expense_Tracker.xlsm]Analysis!PivotTable7</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12801270933448E-2"/>
          <c:y val="0.40925475655434485"/>
          <c:w val="0.88386092342724765"/>
          <c:h val="0.4424014714641985"/>
        </c:manualLayout>
      </c:layout>
      <c:barChart>
        <c:barDir val="col"/>
        <c:grouping val="percentStacked"/>
        <c:varyColors val="0"/>
        <c:ser>
          <c:idx val="0"/>
          <c:order val="0"/>
          <c:tx>
            <c:strRef>
              <c:f>Analysis!$H$52:$H$53</c:f>
              <c:strCache>
                <c:ptCount val="1"/>
                <c:pt idx="0">
                  <c:v>Living Expenses</c:v>
                </c:pt>
              </c:strCache>
            </c:strRef>
          </c:tx>
          <c:spPr>
            <a:solidFill>
              <a:schemeClr val="accent1"/>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Analysis!$H$54:$H$61</c:f>
              <c:numCache>
                <c:formatCode>"$"#,##0</c:formatCode>
                <c:ptCount val="7"/>
                <c:pt idx="0">
                  <c:v>1654.1999999999998</c:v>
                </c:pt>
                <c:pt idx="1">
                  <c:v>2646.3</c:v>
                </c:pt>
                <c:pt idx="2">
                  <c:v>3624.3</c:v>
                </c:pt>
                <c:pt idx="3">
                  <c:v>1685.1</c:v>
                </c:pt>
                <c:pt idx="4">
                  <c:v>2542.1</c:v>
                </c:pt>
                <c:pt idx="5">
                  <c:v>3578.6000000000004</c:v>
                </c:pt>
                <c:pt idx="6">
                  <c:v>669.2</c:v>
                </c:pt>
              </c:numCache>
            </c:numRef>
          </c:val>
          <c:extLst>
            <c:ext xmlns:c16="http://schemas.microsoft.com/office/drawing/2014/chart" uri="{C3380CC4-5D6E-409C-BE32-E72D297353CC}">
              <c16:uniqueId val="{00000000-73D7-4668-8F4D-AB054C070BE9}"/>
            </c:ext>
          </c:extLst>
        </c:ser>
        <c:ser>
          <c:idx val="1"/>
          <c:order val="1"/>
          <c:tx>
            <c:strRef>
              <c:f>Analysis!$I$52:$I$53</c:f>
              <c:strCache>
                <c:ptCount val="1"/>
                <c:pt idx="0">
                  <c:v>Discretionary</c:v>
                </c:pt>
              </c:strCache>
            </c:strRef>
          </c:tx>
          <c:spPr>
            <a:solidFill>
              <a:schemeClr val="accent2"/>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Analysis!$I$54:$I$61</c:f>
              <c:numCache>
                <c:formatCode>"$"#,##0</c:formatCode>
                <c:ptCount val="7"/>
                <c:pt idx="0">
                  <c:v>1146.5</c:v>
                </c:pt>
                <c:pt idx="1">
                  <c:v>696.4</c:v>
                </c:pt>
                <c:pt idx="2">
                  <c:v>805.7</c:v>
                </c:pt>
                <c:pt idx="3">
                  <c:v>938.4</c:v>
                </c:pt>
                <c:pt idx="4">
                  <c:v>702.3</c:v>
                </c:pt>
                <c:pt idx="5">
                  <c:v>745.8</c:v>
                </c:pt>
                <c:pt idx="6">
                  <c:v>1992.5000000000002</c:v>
                </c:pt>
              </c:numCache>
            </c:numRef>
          </c:val>
          <c:extLst>
            <c:ext xmlns:c16="http://schemas.microsoft.com/office/drawing/2014/chart" uri="{C3380CC4-5D6E-409C-BE32-E72D297353CC}">
              <c16:uniqueId val="{00000001-73D7-4668-8F4D-AB054C070BE9}"/>
            </c:ext>
          </c:extLst>
        </c:ser>
        <c:ser>
          <c:idx val="2"/>
          <c:order val="2"/>
          <c:tx>
            <c:strRef>
              <c:f>Analysis!$J$52:$J$53</c:f>
              <c:strCache>
                <c:ptCount val="1"/>
                <c:pt idx="0">
                  <c:v>Transport</c:v>
                </c:pt>
              </c:strCache>
            </c:strRef>
          </c:tx>
          <c:spPr>
            <a:solidFill>
              <a:schemeClr val="accent3"/>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Analysis!$J$54:$J$61</c:f>
              <c:numCache>
                <c:formatCode>"$"#,##0</c:formatCode>
                <c:ptCount val="7"/>
                <c:pt idx="0">
                  <c:v>530.6</c:v>
                </c:pt>
                <c:pt idx="1">
                  <c:v>712.1</c:v>
                </c:pt>
                <c:pt idx="2">
                  <c:v>662.00000000000011</c:v>
                </c:pt>
                <c:pt idx="3">
                  <c:v>518.29999999999995</c:v>
                </c:pt>
                <c:pt idx="4">
                  <c:v>517.6</c:v>
                </c:pt>
                <c:pt idx="5">
                  <c:v>366.20000000000005</c:v>
                </c:pt>
                <c:pt idx="6">
                  <c:v>207.90000000000003</c:v>
                </c:pt>
              </c:numCache>
            </c:numRef>
          </c:val>
          <c:extLst>
            <c:ext xmlns:c16="http://schemas.microsoft.com/office/drawing/2014/chart" uri="{C3380CC4-5D6E-409C-BE32-E72D297353CC}">
              <c16:uniqueId val="{00000002-73D7-4668-8F4D-AB054C070BE9}"/>
            </c:ext>
          </c:extLst>
        </c:ser>
        <c:ser>
          <c:idx val="3"/>
          <c:order val="3"/>
          <c:tx>
            <c:strRef>
              <c:f>Analysis!$K$52:$K$53</c:f>
              <c:strCache>
                <c:ptCount val="1"/>
                <c:pt idx="0">
                  <c:v>Dining Out</c:v>
                </c:pt>
              </c:strCache>
            </c:strRef>
          </c:tx>
          <c:spPr>
            <a:solidFill>
              <a:schemeClr val="accent4"/>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Analysis!$K$54:$K$61</c:f>
              <c:numCache>
                <c:formatCode>"$"#,##0</c:formatCode>
                <c:ptCount val="7"/>
                <c:pt idx="0">
                  <c:v>293.3</c:v>
                </c:pt>
                <c:pt idx="1">
                  <c:v>353.2</c:v>
                </c:pt>
                <c:pt idx="2">
                  <c:v>297.10000000000002</c:v>
                </c:pt>
                <c:pt idx="3">
                  <c:v>367.5</c:v>
                </c:pt>
                <c:pt idx="4">
                  <c:v>341.20000000000005</c:v>
                </c:pt>
                <c:pt idx="5">
                  <c:v>305.2</c:v>
                </c:pt>
                <c:pt idx="6">
                  <c:v>516.4</c:v>
                </c:pt>
              </c:numCache>
            </c:numRef>
          </c:val>
          <c:extLst>
            <c:ext xmlns:c16="http://schemas.microsoft.com/office/drawing/2014/chart" uri="{C3380CC4-5D6E-409C-BE32-E72D297353CC}">
              <c16:uniqueId val="{00000003-73D7-4668-8F4D-AB054C070BE9}"/>
            </c:ext>
          </c:extLst>
        </c:ser>
        <c:ser>
          <c:idx val="4"/>
          <c:order val="4"/>
          <c:tx>
            <c:strRef>
              <c:f>Analysis!$L$52:$L$53</c:f>
              <c:strCache>
                <c:ptCount val="1"/>
                <c:pt idx="0">
                  <c:v>Charity</c:v>
                </c:pt>
              </c:strCache>
            </c:strRef>
          </c:tx>
          <c:spPr>
            <a:solidFill>
              <a:schemeClr val="accent5"/>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Analysis!$L$54:$L$61</c:f>
              <c:numCache>
                <c:formatCode>"$"#,##0</c:formatCode>
                <c:ptCount val="7"/>
                <c:pt idx="0">
                  <c:v>55</c:v>
                </c:pt>
                <c:pt idx="1">
                  <c:v>220</c:v>
                </c:pt>
                <c:pt idx="2">
                  <c:v>55</c:v>
                </c:pt>
                <c:pt idx="3">
                  <c:v>55</c:v>
                </c:pt>
                <c:pt idx="4">
                  <c:v>55</c:v>
                </c:pt>
                <c:pt idx="5">
                  <c:v>55</c:v>
                </c:pt>
                <c:pt idx="6">
                  <c:v>55</c:v>
                </c:pt>
              </c:numCache>
            </c:numRef>
          </c:val>
          <c:extLst>
            <c:ext xmlns:c16="http://schemas.microsoft.com/office/drawing/2014/chart" uri="{C3380CC4-5D6E-409C-BE32-E72D297353CC}">
              <c16:uniqueId val="{00000004-73D7-4668-8F4D-AB054C070BE9}"/>
            </c:ext>
          </c:extLst>
        </c:ser>
        <c:ser>
          <c:idx val="5"/>
          <c:order val="5"/>
          <c:tx>
            <c:strRef>
              <c:f>Analysis!$M$52:$M$53</c:f>
              <c:strCache>
                <c:ptCount val="1"/>
                <c:pt idx="0">
                  <c:v>Medical</c:v>
                </c:pt>
              </c:strCache>
            </c:strRef>
          </c:tx>
          <c:spPr>
            <a:solidFill>
              <a:schemeClr val="accent6"/>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Analysis!$M$54:$M$61</c:f>
              <c:numCache>
                <c:formatCode>"$"#,##0</c:formatCode>
                <c:ptCount val="7"/>
                <c:pt idx="1">
                  <c:v>75</c:v>
                </c:pt>
                <c:pt idx="2">
                  <c:v>150</c:v>
                </c:pt>
              </c:numCache>
            </c:numRef>
          </c:val>
          <c:extLst>
            <c:ext xmlns:c16="http://schemas.microsoft.com/office/drawing/2014/chart" uri="{C3380CC4-5D6E-409C-BE32-E72D297353CC}">
              <c16:uniqueId val="{0000000E-4B49-4A43-88AB-F0E075B74D8F}"/>
            </c:ext>
          </c:extLst>
        </c:ser>
        <c:dLbls>
          <c:showLegendKey val="0"/>
          <c:showVal val="0"/>
          <c:showCatName val="0"/>
          <c:showSerName val="0"/>
          <c:showPercent val="0"/>
          <c:showBubbleSize val="0"/>
        </c:dLbls>
        <c:gapWidth val="150"/>
        <c:overlap val="100"/>
        <c:axId val="1771617408"/>
        <c:axId val="1771618848"/>
      </c:barChart>
      <c:catAx>
        <c:axId val="177161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771618848"/>
        <c:crosses val="autoZero"/>
        <c:auto val="1"/>
        <c:lblAlgn val="ctr"/>
        <c:lblOffset val="100"/>
        <c:noMultiLvlLbl val="0"/>
      </c:catAx>
      <c:valAx>
        <c:axId val="1771618848"/>
        <c:scaling>
          <c:orientation val="minMax"/>
        </c:scaling>
        <c:delete val="1"/>
        <c:axPos val="l"/>
        <c:numFmt formatCode="0%" sourceLinked="1"/>
        <c:majorTickMark val="none"/>
        <c:minorTickMark val="none"/>
        <c:tickLblPos val="nextTo"/>
        <c:crossAx val="1771617408"/>
        <c:crosses val="autoZero"/>
        <c:crossBetween val="between"/>
      </c:valAx>
      <c:spPr>
        <a:noFill/>
        <a:ln>
          <a:noFill/>
        </a:ln>
        <a:effectLst/>
      </c:spPr>
    </c:plotArea>
    <c:legend>
      <c:legendPos val="t"/>
      <c:layout>
        <c:manualLayout>
          <c:xMode val="edge"/>
          <c:yMode val="edge"/>
          <c:x val="6.2518638895972273E-3"/>
          <c:y val="0.14707592813671769"/>
          <c:w val="0.95971621335430979"/>
          <c:h val="0.1998329346355502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139809982139524E-2"/>
          <c:y val="0.11458323935101759"/>
          <c:w val="0.9408599516794417"/>
          <c:h val="0.59168504619008666"/>
        </c:manualLayout>
      </c:layout>
      <c:barChart>
        <c:barDir val="col"/>
        <c:grouping val="clustered"/>
        <c:varyColors val="0"/>
        <c:ser>
          <c:idx val="0"/>
          <c:order val="0"/>
          <c:tx>
            <c:strRef>
              <c:f>Analysis!$N$80</c:f>
              <c:strCache>
                <c:ptCount val="1"/>
                <c:pt idx="0">
                  <c:v>Sum of Debit</c:v>
                </c:pt>
              </c:strCache>
            </c:strRef>
          </c:tx>
          <c:spPr>
            <a:solidFill>
              <a:srgbClr val="FFD058"/>
            </a:solidFill>
            <a:ln>
              <a:noFill/>
            </a:ln>
            <a:effectLst/>
          </c:spPr>
          <c:invertIfNegative val="0"/>
          <c:cat>
            <c:strRef>
              <c:f>Analysis!$M$81:$M$90</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Analysis!$N$81:$N$90</c:f>
              <c:numCache>
                <c:formatCode>General</c:formatCode>
                <c:ptCount val="10"/>
                <c:pt idx="0">
                  <c:v>2874</c:v>
                </c:pt>
                <c:pt idx="1">
                  <c:v>2904.6000000000004</c:v>
                </c:pt>
                <c:pt idx="2">
                  <c:v>3049.7</c:v>
                </c:pt>
                <c:pt idx="3">
                  <c:v>3038.0000000000005</c:v>
                </c:pt>
                <c:pt idx="4">
                  <c:v>3116.1</c:v>
                </c:pt>
                <c:pt idx="5">
                  <c:v>3005.7</c:v>
                </c:pt>
                <c:pt idx="6">
                  <c:v>3065</c:v>
                </c:pt>
                <c:pt idx="7">
                  <c:v>2952.0999999999995</c:v>
                </c:pt>
                <c:pt idx="8">
                  <c:v>3087.1</c:v>
                </c:pt>
                <c:pt idx="9">
                  <c:v>3098.7</c:v>
                </c:pt>
              </c:numCache>
            </c:numRef>
          </c:val>
          <c:extLst>
            <c:ext xmlns:c16="http://schemas.microsoft.com/office/drawing/2014/chart" uri="{C3380CC4-5D6E-409C-BE32-E72D297353CC}">
              <c16:uniqueId val="{00000000-460C-4171-B786-77A8ECACEF18}"/>
            </c:ext>
          </c:extLst>
        </c:ser>
        <c:dLbls>
          <c:showLegendKey val="0"/>
          <c:showVal val="0"/>
          <c:showCatName val="0"/>
          <c:showSerName val="0"/>
          <c:showPercent val="0"/>
          <c:showBubbleSize val="0"/>
        </c:dLbls>
        <c:gapWidth val="79"/>
        <c:overlap val="71"/>
        <c:axId val="527464831"/>
        <c:axId val="527480671"/>
      </c:barChart>
      <c:catAx>
        <c:axId val="52746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27480671"/>
        <c:crosses val="autoZero"/>
        <c:auto val="1"/>
        <c:lblAlgn val="ctr"/>
        <c:lblOffset val="100"/>
        <c:noMultiLvlLbl val="0"/>
      </c:catAx>
      <c:valAx>
        <c:axId val="527480671"/>
        <c:scaling>
          <c:orientation val="minMax"/>
        </c:scaling>
        <c:delete val="1"/>
        <c:axPos val="l"/>
        <c:numFmt formatCode="General" sourceLinked="1"/>
        <c:majorTickMark val="none"/>
        <c:minorTickMark val="none"/>
        <c:tickLblPos val="nextTo"/>
        <c:crossAx val="527464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[Personal_Expense_Tracker.xlsm]Analysis!PivotTable5</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8.8566827697262485E-2"/>
          <c:w val="0.69631321370309962"/>
          <c:h val="0.72465162869134114"/>
        </c:manualLayout>
      </c:layout>
      <c:barChart>
        <c:barDir val="col"/>
        <c:grouping val="percentStacked"/>
        <c:varyColors val="0"/>
        <c:ser>
          <c:idx val="0"/>
          <c:order val="0"/>
          <c:tx>
            <c:strRef>
              <c:f>Analysis!$G$29</c:f>
              <c:strCache>
                <c:ptCount val="1"/>
                <c:pt idx="0">
                  <c:v>Sum of Debit</c:v>
                </c:pt>
              </c:strCache>
            </c:strRef>
          </c:tx>
          <c:spPr>
            <a:solidFill>
              <a:srgbClr val="FF58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Analysis!$G$30</c:f>
              <c:strCache>
                <c:ptCount val="1"/>
                <c:pt idx="0">
                  <c:v>Total</c:v>
                </c:pt>
              </c:strCache>
            </c:strRef>
          </c:cat>
          <c:val>
            <c:numRef>
              <c:f>Analysis!$G$30</c:f>
              <c:numCache>
                <c:formatCode>"$"#,##0</c:formatCode>
                <c:ptCount val="1"/>
                <c:pt idx="0">
                  <c:v>30190.999999999993</c:v>
                </c:pt>
              </c:numCache>
            </c:numRef>
          </c:val>
          <c:extLst>
            <c:ext xmlns:c16="http://schemas.microsoft.com/office/drawing/2014/chart" uri="{C3380CC4-5D6E-409C-BE32-E72D297353CC}">
              <c16:uniqueId val="{00000000-D678-4D5D-AB40-137CF87937B5}"/>
            </c:ext>
          </c:extLst>
        </c:ser>
        <c:ser>
          <c:idx val="1"/>
          <c:order val="1"/>
          <c:tx>
            <c:strRef>
              <c:f>Analysis!$H$29</c:f>
              <c:strCache>
                <c:ptCount val="1"/>
                <c:pt idx="0">
                  <c:v>Sum of Credit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Analysis!$G$30</c:f>
              <c:strCache>
                <c:ptCount val="1"/>
                <c:pt idx="0">
                  <c:v>Total</c:v>
                </c:pt>
              </c:strCache>
            </c:strRef>
          </c:cat>
          <c:val>
            <c:numRef>
              <c:f>Analysis!$H$30</c:f>
              <c:numCache>
                <c:formatCode>"$"#,##0</c:formatCode>
                <c:ptCount val="1"/>
                <c:pt idx="0">
                  <c:v>65440</c:v>
                </c:pt>
              </c:numCache>
            </c:numRef>
          </c:val>
          <c:extLst>
            <c:ext xmlns:c16="http://schemas.microsoft.com/office/drawing/2014/chart" uri="{C3380CC4-5D6E-409C-BE32-E72D297353CC}">
              <c16:uniqueId val="{00000001-D678-4D5D-AB40-137CF87937B5}"/>
            </c:ext>
          </c:extLst>
        </c:ser>
        <c:ser>
          <c:idx val="2"/>
          <c:order val="2"/>
          <c:tx>
            <c:strRef>
              <c:f>Analysis!$I$29</c:f>
              <c:strCache>
                <c:ptCount val="1"/>
                <c:pt idx="0">
                  <c:v>Sum of Amount</c:v>
                </c:pt>
              </c:strCache>
            </c:strRef>
          </c:tx>
          <c:spPr>
            <a:solidFill>
              <a:srgbClr val="5C38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Analysis!$G$30</c:f>
              <c:strCache>
                <c:ptCount val="1"/>
                <c:pt idx="0">
                  <c:v>Total</c:v>
                </c:pt>
              </c:strCache>
            </c:strRef>
          </c:cat>
          <c:val>
            <c:numRef>
              <c:f>Analysis!$I$30</c:f>
              <c:numCache>
                <c:formatCode>"$"#,##0</c:formatCode>
                <c:ptCount val="1"/>
                <c:pt idx="0">
                  <c:v>35249.000000000007</c:v>
                </c:pt>
              </c:numCache>
            </c:numRef>
          </c:val>
          <c:extLst>
            <c:ext xmlns:c16="http://schemas.microsoft.com/office/drawing/2014/chart" uri="{C3380CC4-5D6E-409C-BE32-E72D297353CC}">
              <c16:uniqueId val="{00000002-D678-4D5D-AB40-137CF87937B5}"/>
            </c:ext>
          </c:extLst>
        </c:ser>
        <c:dLbls>
          <c:dLblPos val="ctr"/>
          <c:showLegendKey val="0"/>
          <c:showVal val="1"/>
          <c:showCatName val="0"/>
          <c:showSerName val="0"/>
          <c:showPercent val="0"/>
          <c:showBubbleSize val="0"/>
        </c:dLbls>
        <c:gapWidth val="150"/>
        <c:overlap val="100"/>
        <c:axId val="1819286832"/>
        <c:axId val="1819288272"/>
      </c:barChart>
      <c:catAx>
        <c:axId val="1819286832"/>
        <c:scaling>
          <c:orientation val="minMax"/>
        </c:scaling>
        <c:delete val="1"/>
        <c:axPos val="b"/>
        <c:numFmt formatCode="General" sourceLinked="1"/>
        <c:majorTickMark val="none"/>
        <c:minorTickMark val="none"/>
        <c:tickLblPos val="nextTo"/>
        <c:crossAx val="1819288272"/>
        <c:crosses val="autoZero"/>
        <c:auto val="1"/>
        <c:lblAlgn val="ctr"/>
        <c:lblOffset val="100"/>
        <c:noMultiLvlLbl val="0"/>
      </c:catAx>
      <c:valAx>
        <c:axId val="1819288272"/>
        <c:scaling>
          <c:orientation val="minMax"/>
        </c:scaling>
        <c:delete val="1"/>
        <c:axPos val="l"/>
        <c:numFmt formatCode="0%" sourceLinked="1"/>
        <c:majorTickMark val="none"/>
        <c:minorTickMark val="none"/>
        <c:tickLblPos val="nextTo"/>
        <c:crossAx val="181928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[Personal_Expense_Tracker.xlsm]Analysis!PivotTable6</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65000"/>
            </a:schemeClr>
          </a:solidFill>
          <a:ln w="0">
            <a:solidFill>
              <a:schemeClr val="lt1"/>
            </a:solidFill>
          </a:ln>
          <a:effectLst/>
        </c:spPr>
      </c:pivotFmt>
      <c:pivotFmt>
        <c:idx val="7"/>
        <c:spPr>
          <a:solidFill>
            <a:srgbClr val="FF5858"/>
          </a:solidFill>
          <a:ln w="0">
            <a:solidFill>
              <a:schemeClr val="lt1"/>
            </a:solidFill>
          </a:ln>
          <a:effectLst/>
        </c:spPr>
      </c:pivotFmt>
      <c:pivotFmt>
        <c:idx val="8"/>
        <c:spPr>
          <a:solidFill>
            <a:srgbClr val="FFD058"/>
          </a:solidFill>
          <a:ln w="146050">
            <a:solidFill>
              <a:srgbClr val="FFD058"/>
            </a:solidFill>
          </a:ln>
          <a:effectLst/>
        </c:spPr>
      </c:pivotFmt>
    </c:pivotFmts>
    <c:plotArea>
      <c:layout>
        <c:manualLayout>
          <c:layoutTarget val="inner"/>
          <c:xMode val="edge"/>
          <c:yMode val="edge"/>
          <c:x val="0.26306690445824532"/>
          <c:y val="7.8891931986762517E-2"/>
          <c:w val="0.49972024799026643"/>
          <c:h val="0.61898171112213385"/>
        </c:manualLayout>
      </c:layout>
      <c:doughnutChart>
        <c:varyColors val="1"/>
        <c:ser>
          <c:idx val="0"/>
          <c:order val="0"/>
          <c:tx>
            <c:strRef>
              <c:f>Analysis!$H$40</c:f>
              <c:strCache>
                <c:ptCount val="1"/>
                <c:pt idx="0">
                  <c:v>Total</c:v>
                </c:pt>
              </c:strCache>
            </c:strRef>
          </c:tx>
          <c:spPr>
            <a:ln w="0"/>
          </c:spPr>
          <c:dPt>
            <c:idx val="0"/>
            <c:bubble3D val="0"/>
            <c:spPr>
              <a:solidFill>
                <a:schemeClr val="bg1">
                  <a:lumMod val="65000"/>
                </a:schemeClr>
              </a:solidFill>
              <a:ln w="0">
                <a:solidFill>
                  <a:schemeClr val="lt1"/>
                </a:solidFill>
              </a:ln>
              <a:effectLst/>
            </c:spPr>
            <c:extLst>
              <c:ext xmlns:c16="http://schemas.microsoft.com/office/drawing/2014/chart" uri="{C3380CC4-5D6E-409C-BE32-E72D297353CC}">
                <c16:uniqueId val="{00000001-92DB-4227-A343-3D152A957DAC}"/>
              </c:ext>
            </c:extLst>
          </c:dPt>
          <c:dPt>
            <c:idx val="1"/>
            <c:bubble3D val="0"/>
            <c:spPr>
              <a:solidFill>
                <a:srgbClr val="FF5858"/>
              </a:solidFill>
              <a:ln w="0">
                <a:solidFill>
                  <a:schemeClr val="lt1"/>
                </a:solidFill>
              </a:ln>
              <a:effectLst/>
            </c:spPr>
            <c:extLst>
              <c:ext xmlns:c16="http://schemas.microsoft.com/office/drawing/2014/chart" uri="{C3380CC4-5D6E-409C-BE32-E72D297353CC}">
                <c16:uniqueId val="{00000003-92DB-4227-A343-3D152A957DAC}"/>
              </c:ext>
            </c:extLst>
          </c:dPt>
          <c:dPt>
            <c:idx val="2"/>
            <c:bubble3D val="0"/>
            <c:spPr>
              <a:solidFill>
                <a:srgbClr val="FFD058"/>
              </a:solidFill>
              <a:ln w="146050">
                <a:solidFill>
                  <a:srgbClr val="FFD058"/>
                </a:solidFill>
              </a:ln>
              <a:effectLst/>
            </c:spPr>
            <c:extLst>
              <c:ext xmlns:c16="http://schemas.microsoft.com/office/drawing/2014/chart" uri="{C3380CC4-5D6E-409C-BE32-E72D297353CC}">
                <c16:uniqueId val="{00000005-92DB-4227-A343-3D152A957DAC}"/>
              </c:ext>
            </c:extLst>
          </c:dPt>
          <c:cat>
            <c:strRef>
              <c:f>Analysis!$G$41:$G$44</c:f>
              <c:strCache>
                <c:ptCount val="3"/>
                <c:pt idx="0">
                  <c:v>DWD</c:v>
                </c:pt>
                <c:pt idx="1">
                  <c:v>Teachable</c:v>
                </c:pt>
                <c:pt idx="2">
                  <c:v>YouTube</c:v>
                </c:pt>
              </c:strCache>
            </c:strRef>
          </c:cat>
          <c:val>
            <c:numRef>
              <c:f>Analysis!$H$41:$H$44</c:f>
              <c:numCache>
                <c:formatCode>"$"#,##0</c:formatCode>
                <c:ptCount val="3"/>
                <c:pt idx="0">
                  <c:v>50000</c:v>
                </c:pt>
                <c:pt idx="1">
                  <c:v>4500</c:v>
                </c:pt>
                <c:pt idx="2">
                  <c:v>10940</c:v>
                </c:pt>
              </c:numCache>
            </c:numRef>
          </c:val>
          <c:extLst>
            <c:ext xmlns:c16="http://schemas.microsoft.com/office/drawing/2014/chart" uri="{C3380CC4-5D6E-409C-BE32-E72D297353CC}">
              <c16:uniqueId val="{00000006-92DB-4227-A343-3D152A957DA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[Personal_Expense_Tracker.xlsm]Analysis!PivotTable4</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Analysis!$H$17</c:f>
              <c:strCache>
                <c:ptCount val="1"/>
                <c:pt idx="0">
                  <c:v>Total</c:v>
                </c:pt>
              </c:strCache>
            </c:strRef>
          </c:tx>
          <c:spPr>
            <a:solidFill>
              <a:schemeClr val="accent1"/>
            </a:solidFill>
            <a:ln>
              <a:noFill/>
            </a:ln>
            <a:effectLst/>
          </c:spPr>
          <c:invertIfNegative val="0"/>
          <c:cat>
            <c:strRef>
              <c:f>Analysis!$G$18:$G$23</c:f>
              <c:strCache>
                <c:ptCount val="5"/>
                <c:pt idx="0">
                  <c:v>Rent</c:v>
                </c:pt>
                <c:pt idx="1">
                  <c:v>Groceries</c:v>
                </c:pt>
                <c:pt idx="2">
                  <c:v>Clothes</c:v>
                </c:pt>
                <c:pt idx="3">
                  <c:v>Entertainment</c:v>
                </c:pt>
                <c:pt idx="4">
                  <c:v>Cash loan</c:v>
                </c:pt>
              </c:strCache>
            </c:strRef>
          </c:cat>
          <c:val>
            <c:numRef>
              <c:f>Analysis!$H$18:$H$23</c:f>
              <c:numCache>
                <c:formatCode>"$"#,##0</c:formatCode>
                <c:ptCount val="5"/>
                <c:pt idx="0">
                  <c:v>9000</c:v>
                </c:pt>
                <c:pt idx="1">
                  <c:v>6454.0999999999995</c:v>
                </c:pt>
                <c:pt idx="2">
                  <c:v>4303.6000000000004</c:v>
                </c:pt>
                <c:pt idx="3">
                  <c:v>1812.5999999999995</c:v>
                </c:pt>
                <c:pt idx="4">
                  <c:v>1500</c:v>
                </c:pt>
              </c:numCache>
            </c:numRef>
          </c:val>
          <c:extLst>
            <c:ext xmlns:c16="http://schemas.microsoft.com/office/drawing/2014/chart" uri="{C3380CC4-5D6E-409C-BE32-E72D297353CC}">
              <c16:uniqueId val="{00000000-CD60-4595-9387-B0D4508CA5B8}"/>
            </c:ext>
          </c:extLst>
        </c:ser>
        <c:dLbls>
          <c:showLegendKey val="0"/>
          <c:showVal val="0"/>
          <c:showCatName val="0"/>
          <c:showSerName val="0"/>
          <c:showPercent val="0"/>
          <c:showBubbleSize val="0"/>
        </c:dLbls>
        <c:gapWidth val="182"/>
        <c:axId val="522154655"/>
        <c:axId val="522156095"/>
      </c:barChart>
      <c:catAx>
        <c:axId val="522154655"/>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6095"/>
        <c:crosses val="autoZero"/>
        <c:auto val="1"/>
        <c:lblAlgn val="ctr"/>
        <c:lblOffset val="100"/>
        <c:noMultiLvlLbl val="0"/>
      </c:catAx>
      <c:valAx>
        <c:axId val="522156095"/>
        <c:scaling>
          <c:orientation val="minMax"/>
        </c:scaling>
        <c:delete val="1"/>
        <c:axPos val="t"/>
        <c:numFmt formatCode="&quot;$&quot;#,##0" sourceLinked="1"/>
        <c:majorTickMark val="none"/>
        <c:minorTickMark val="none"/>
        <c:tickLblPos val="nextTo"/>
        <c:crossAx val="522154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[Personal_Expense_Tracker.xlsm]Analysis!PivotTable5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Analysis!$G$29</c:f>
              <c:strCache>
                <c:ptCount val="1"/>
                <c:pt idx="0">
                  <c:v>Sum of Debit</c:v>
                </c:pt>
              </c:strCache>
            </c:strRef>
          </c:tx>
          <c:spPr>
            <a:solidFill>
              <a:schemeClr val="accent1"/>
            </a:solidFill>
            <a:ln>
              <a:noFill/>
            </a:ln>
            <a:effectLst/>
          </c:spPr>
          <c:invertIfNegative val="0"/>
          <c:cat>
            <c:strRef>
              <c:f>Analysis!$G$30</c:f>
              <c:strCache>
                <c:ptCount val="1"/>
                <c:pt idx="0">
                  <c:v>Total</c:v>
                </c:pt>
              </c:strCache>
            </c:strRef>
          </c:cat>
          <c:val>
            <c:numRef>
              <c:f>Analysis!$G$30</c:f>
              <c:numCache>
                <c:formatCode>"$"#,##0</c:formatCode>
                <c:ptCount val="1"/>
                <c:pt idx="0">
                  <c:v>30190.999999999993</c:v>
                </c:pt>
              </c:numCache>
            </c:numRef>
          </c:val>
          <c:extLst>
            <c:ext xmlns:c16="http://schemas.microsoft.com/office/drawing/2014/chart" uri="{C3380CC4-5D6E-409C-BE32-E72D297353CC}">
              <c16:uniqueId val="{00000000-A427-4C26-B710-25B3F9927F36}"/>
            </c:ext>
          </c:extLst>
        </c:ser>
        <c:ser>
          <c:idx val="1"/>
          <c:order val="1"/>
          <c:tx>
            <c:strRef>
              <c:f>Analysis!$H$29</c:f>
              <c:strCache>
                <c:ptCount val="1"/>
                <c:pt idx="0">
                  <c:v>Sum of Credit</c:v>
                </c:pt>
              </c:strCache>
            </c:strRef>
          </c:tx>
          <c:spPr>
            <a:solidFill>
              <a:schemeClr val="accent2"/>
            </a:solidFill>
            <a:ln>
              <a:noFill/>
            </a:ln>
            <a:effectLst/>
          </c:spPr>
          <c:invertIfNegative val="0"/>
          <c:cat>
            <c:strRef>
              <c:f>Analysis!$G$30</c:f>
              <c:strCache>
                <c:ptCount val="1"/>
                <c:pt idx="0">
                  <c:v>Total</c:v>
                </c:pt>
              </c:strCache>
            </c:strRef>
          </c:cat>
          <c:val>
            <c:numRef>
              <c:f>Analysis!$H$30</c:f>
              <c:numCache>
                <c:formatCode>"$"#,##0</c:formatCode>
                <c:ptCount val="1"/>
                <c:pt idx="0">
                  <c:v>65440</c:v>
                </c:pt>
              </c:numCache>
            </c:numRef>
          </c:val>
          <c:extLst>
            <c:ext xmlns:c16="http://schemas.microsoft.com/office/drawing/2014/chart" uri="{C3380CC4-5D6E-409C-BE32-E72D297353CC}">
              <c16:uniqueId val="{00000001-A427-4C26-B710-25B3F9927F36}"/>
            </c:ext>
          </c:extLst>
        </c:ser>
        <c:ser>
          <c:idx val="2"/>
          <c:order val="2"/>
          <c:tx>
            <c:strRef>
              <c:f>Analysis!$I$29</c:f>
              <c:strCache>
                <c:ptCount val="1"/>
                <c:pt idx="0">
                  <c:v>Sum of Amount</c:v>
                </c:pt>
              </c:strCache>
            </c:strRef>
          </c:tx>
          <c:spPr>
            <a:solidFill>
              <a:schemeClr val="accent3"/>
            </a:solidFill>
            <a:ln>
              <a:noFill/>
            </a:ln>
            <a:effectLst/>
          </c:spPr>
          <c:invertIfNegative val="0"/>
          <c:cat>
            <c:strRef>
              <c:f>Analysis!$G$30</c:f>
              <c:strCache>
                <c:ptCount val="1"/>
                <c:pt idx="0">
                  <c:v>Total</c:v>
                </c:pt>
              </c:strCache>
            </c:strRef>
          </c:cat>
          <c:val>
            <c:numRef>
              <c:f>Analysis!$I$30</c:f>
              <c:numCache>
                <c:formatCode>"$"#,##0</c:formatCode>
                <c:ptCount val="1"/>
                <c:pt idx="0">
                  <c:v>35249.000000000007</c:v>
                </c:pt>
              </c:numCache>
            </c:numRef>
          </c:val>
          <c:extLst>
            <c:ext xmlns:c16="http://schemas.microsoft.com/office/drawing/2014/chart" uri="{C3380CC4-5D6E-409C-BE32-E72D297353CC}">
              <c16:uniqueId val="{00000002-A427-4C26-B710-25B3F9927F36}"/>
            </c:ext>
          </c:extLst>
        </c:ser>
        <c:dLbls>
          <c:showLegendKey val="0"/>
          <c:showVal val="0"/>
          <c:showCatName val="0"/>
          <c:showSerName val="0"/>
          <c:showPercent val="0"/>
          <c:showBubbleSize val="0"/>
        </c:dLbls>
        <c:gapWidth val="150"/>
        <c:overlap val="100"/>
        <c:axId val="1819286832"/>
        <c:axId val="1819288272"/>
      </c:barChart>
      <c:catAx>
        <c:axId val="181928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288272"/>
        <c:crosses val="autoZero"/>
        <c:auto val="1"/>
        <c:lblAlgn val="ctr"/>
        <c:lblOffset val="100"/>
        <c:noMultiLvlLbl val="0"/>
      </c:catAx>
      <c:valAx>
        <c:axId val="1819288272"/>
        <c:scaling>
          <c:orientation val="minMax"/>
        </c:scaling>
        <c:delete val="1"/>
        <c:axPos val="l"/>
        <c:numFmt formatCode="0%" sourceLinked="1"/>
        <c:majorTickMark val="none"/>
        <c:minorTickMark val="none"/>
        <c:tickLblPos val="nextTo"/>
        <c:crossAx val="181928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[Personal_Expense_Tracker.xlsm]Analysis!PivotTable6</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Analysis!$H$40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F0-4639-8BB8-3A1FA4AA16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F0-4639-8BB8-3A1FA4AA16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190-492D-9B83-D1C4A538C3B6}"/>
              </c:ext>
            </c:extLst>
          </c:dPt>
          <c:cat>
            <c:strRef>
              <c:f>Analysis!$G$41:$G$44</c:f>
              <c:strCache>
                <c:ptCount val="3"/>
                <c:pt idx="0">
                  <c:v>DWD</c:v>
                </c:pt>
                <c:pt idx="1">
                  <c:v>Teachable</c:v>
                </c:pt>
                <c:pt idx="2">
                  <c:v>YouTube</c:v>
                </c:pt>
              </c:strCache>
            </c:strRef>
          </c:cat>
          <c:val>
            <c:numRef>
              <c:f>Analysis!$H$41:$H$44</c:f>
              <c:numCache>
                <c:formatCode>"$"#,##0</c:formatCode>
                <c:ptCount val="3"/>
                <c:pt idx="0">
                  <c:v>50000</c:v>
                </c:pt>
                <c:pt idx="1">
                  <c:v>4500</c:v>
                </c:pt>
                <c:pt idx="2">
                  <c:v>10940</c:v>
                </c:pt>
              </c:numCache>
            </c:numRef>
          </c:val>
          <c:extLst>
            <c:ext xmlns:c16="http://schemas.microsoft.com/office/drawing/2014/chart" uri="{C3380CC4-5D6E-409C-BE32-E72D297353CC}">
              <c16:uniqueId val="{00000000-5190-492D-9B83-D1C4A538C3B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[Personal_Expense_Tracker.xlsm]Analysis!PivotTable7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Analysis!$H$52:$H$53</c:f>
              <c:strCache>
                <c:ptCount val="1"/>
                <c:pt idx="0">
                  <c:v>Living Expenses</c:v>
                </c:pt>
              </c:strCache>
            </c:strRef>
          </c:tx>
          <c:spPr>
            <a:solidFill>
              <a:schemeClr val="accent1"/>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Analysis!$H$54:$H$61</c:f>
              <c:numCache>
                <c:formatCode>"$"#,##0</c:formatCode>
                <c:ptCount val="7"/>
                <c:pt idx="0">
                  <c:v>1654.1999999999998</c:v>
                </c:pt>
                <c:pt idx="1">
                  <c:v>2646.3</c:v>
                </c:pt>
                <c:pt idx="2">
                  <c:v>3624.3</c:v>
                </c:pt>
                <c:pt idx="3">
                  <c:v>1685.1</c:v>
                </c:pt>
                <c:pt idx="4">
                  <c:v>2542.1</c:v>
                </c:pt>
                <c:pt idx="5">
                  <c:v>3578.6000000000004</c:v>
                </c:pt>
                <c:pt idx="6">
                  <c:v>669.2</c:v>
                </c:pt>
              </c:numCache>
            </c:numRef>
          </c:val>
          <c:extLst>
            <c:ext xmlns:c16="http://schemas.microsoft.com/office/drawing/2014/chart" uri="{C3380CC4-5D6E-409C-BE32-E72D297353CC}">
              <c16:uniqueId val="{00000000-C215-47DE-9DC9-1673E65E8826}"/>
            </c:ext>
          </c:extLst>
        </c:ser>
        <c:ser>
          <c:idx val="1"/>
          <c:order val="1"/>
          <c:tx>
            <c:strRef>
              <c:f>Analysis!$I$52:$I$53</c:f>
              <c:strCache>
                <c:ptCount val="1"/>
                <c:pt idx="0">
                  <c:v>Discretionary</c:v>
                </c:pt>
              </c:strCache>
            </c:strRef>
          </c:tx>
          <c:spPr>
            <a:solidFill>
              <a:schemeClr val="accent2"/>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Analysis!$I$54:$I$61</c:f>
              <c:numCache>
                <c:formatCode>"$"#,##0</c:formatCode>
                <c:ptCount val="7"/>
                <c:pt idx="0">
                  <c:v>1146.5</c:v>
                </c:pt>
                <c:pt idx="1">
                  <c:v>696.4</c:v>
                </c:pt>
                <c:pt idx="2">
                  <c:v>805.7</c:v>
                </c:pt>
                <c:pt idx="3">
                  <c:v>938.4</c:v>
                </c:pt>
                <c:pt idx="4">
                  <c:v>702.3</c:v>
                </c:pt>
                <c:pt idx="5">
                  <c:v>745.8</c:v>
                </c:pt>
                <c:pt idx="6">
                  <c:v>1992.5000000000002</c:v>
                </c:pt>
              </c:numCache>
            </c:numRef>
          </c:val>
          <c:extLst>
            <c:ext xmlns:c16="http://schemas.microsoft.com/office/drawing/2014/chart" uri="{C3380CC4-5D6E-409C-BE32-E72D297353CC}">
              <c16:uniqueId val="{00000001-C215-47DE-9DC9-1673E65E8826}"/>
            </c:ext>
          </c:extLst>
        </c:ser>
        <c:ser>
          <c:idx val="2"/>
          <c:order val="2"/>
          <c:tx>
            <c:strRef>
              <c:f>Analysis!$J$52:$J$53</c:f>
              <c:strCache>
                <c:ptCount val="1"/>
                <c:pt idx="0">
                  <c:v>Transport</c:v>
                </c:pt>
              </c:strCache>
            </c:strRef>
          </c:tx>
          <c:spPr>
            <a:solidFill>
              <a:schemeClr val="accent3"/>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Analysis!$J$54:$J$61</c:f>
              <c:numCache>
                <c:formatCode>"$"#,##0</c:formatCode>
                <c:ptCount val="7"/>
                <c:pt idx="0">
                  <c:v>530.6</c:v>
                </c:pt>
                <c:pt idx="1">
                  <c:v>712.1</c:v>
                </c:pt>
                <c:pt idx="2">
                  <c:v>662.00000000000011</c:v>
                </c:pt>
                <c:pt idx="3">
                  <c:v>518.29999999999995</c:v>
                </c:pt>
                <c:pt idx="4">
                  <c:v>517.6</c:v>
                </c:pt>
                <c:pt idx="5">
                  <c:v>366.20000000000005</c:v>
                </c:pt>
                <c:pt idx="6">
                  <c:v>207.90000000000003</c:v>
                </c:pt>
              </c:numCache>
            </c:numRef>
          </c:val>
          <c:extLst>
            <c:ext xmlns:c16="http://schemas.microsoft.com/office/drawing/2014/chart" uri="{C3380CC4-5D6E-409C-BE32-E72D297353CC}">
              <c16:uniqueId val="{00000002-C215-47DE-9DC9-1673E65E8826}"/>
            </c:ext>
          </c:extLst>
        </c:ser>
        <c:ser>
          <c:idx val="3"/>
          <c:order val="3"/>
          <c:tx>
            <c:strRef>
              <c:f>Analysis!$K$52:$K$53</c:f>
              <c:strCache>
                <c:ptCount val="1"/>
                <c:pt idx="0">
                  <c:v>Dining Out</c:v>
                </c:pt>
              </c:strCache>
            </c:strRef>
          </c:tx>
          <c:spPr>
            <a:solidFill>
              <a:schemeClr val="accent4"/>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Analysis!$K$54:$K$61</c:f>
              <c:numCache>
                <c:formatCode>"$"#,##0</c:formatCode>
                <c:ptCount val="7"/>
                <c:pt idx="0">
                  <c:v>293.3</c:v>
                </c:pt>
                <c:pt idx="1">
                  <c:v>353.2</c:v>
                </c:pt>
                <c:pt idx="2">
                  <c:v>297.10000000000002</c:v>
                </c:pt>
                <c:pt idx="3">
                  <c:v>367.5</c:v>
                </c:pt>
                <c:pt idx="4">
                  <c:v>341.20000000000005</c:v>
                </c:pt>
                <c:pt idx="5">
                  <c:v>305.2</c:v>
                </c:pt>
                <c:pt idx="6">
                  <c:v>516.4</c:v>
                </c:pt>
              </c:numCache>
            </c:numRef>
          </c:val>
          <c:extLst>
            <c:ext xmlns:c16="http://schemas.microsoft.com/office/drawing/2014/chart" uri="{C3380CC4-5D6E-409C-BE32-E72D297353CC}">
              <c16:uniqueId val="{00000003-C215-47DE-9DC9-1673E65E8826}"/>
            </c:ext>
          </c:extLst>
        </c:ser>
        <c:ser>
          <c:idx val="4"/>
          <c:order val="4"/>
          <c:tx>
            <c:strRef>
              <c:f>Analysis!$L$52:$L$53</c:f>
              <c:strCache>
                <c:ptCount val="1"/>
                <c:pt idx="0">
                  <c:v>Charity</c:v>
                </c:pt>
              </c:strCache>
            </c:strRef>
          </c:tx>
          <c:spPr>
            <a:solidFill>
              <a:schemeClr val="accent5"/>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Analysis!$L$54:$L$61</c:f>
              <c:numCache>
                <c:formatCode>"$"#,##0</c:formatCode>
                <c:ptCount val="7"/>
                <c:pt idx="0">
                  <c:v>55</c:v>
                </c:pt>
                <c:pt idx="1">
                  <c:v>220</c:v>
                </c:pt>
                <c:pt idx="2">
                  <c:v>55</c:v>
                </c:pt>
                <c:pt idx="3">
                  <c:v>55</c:v>
                </c:pt>
                <c:pt idx="4">
                  <c:v>55</c:v>
                </c:pt>
                <c:pt idx="5">
                  <c:v>55</c:v>
                </c:pt>
                <c:pt idx="6">
                  <c:v>55</c:v>
                </c:pt>
              </c:numCache>
            </c:numRef>
          </c:val>
          <c:extLst>
            <c:ext xmlns:c16="http://schemas.microsoft.com/office/drawing/2014/chart" uri="{C3380CC4-5D6E-409C-BE32-E72D297353CC}">
              <c16:uniqueId val="{00000004-C215-47DE-9DC9-1673E65E8826}"/>
            </c:ext>
          </c:extLst>
        </c:ser>
        <c:ser>
          <c:idx val="5"/>
          <c:order val="5"/>
          <c:tx>
            <c:strRef>
              <c:f>Analysis!$M$52:$M$53</c:f>
              <c:strCache>
                <c:ptCount val="1"/>
                <c:pt idx="0">
                  <c:v>Medical</c:v>
                </c:pt>
              </c:strCache>
            </c:strRef>
          </c:tx>
          <c:spPr>
            <a:solidFill>
              <a:schemeClr val="accent6"/>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Analysis!$M$54:$M$61</c:f>
              <c:numCache>
                <c:formatCode>"$"#,##0</c:formatCode>
                <c:ptCount val="7"/>
                <c:pt idx="1">
                  <c:v>75</c:v>
                </c:pt>
                <c:pt idx="2">
                  <c:v>150</c:v>
                </c:pt>
              </c:numCache>
            </c:numRef>
          </c:val>
          <c:extLst>
            <c:ext xmlns:c16="http://schemas.microsoft.com/office/drawing/2014/chart" uri="{C3380CC4-5D6E-409C-BE32-E72D297353CC}">
              <c16:uniqueId val="{0000000E-0BF5-4062-BA24-BB8029BAAF51}"/>
            </c:ext>
          </c:extLst>
        </c:ser>
        <c:dLbls>
          <c:showLegendKey val="0"/>
          <c:showVal val="0"/>
          <c:showCatName val="0"/>
          <c:showSerName val="0"/>
          <c:showPercent val="0"/>
          <c:showBubbleSize val="0"/>
        </c:dLbls>
        <c:gapWidth val="150"/>
        <c:overlap val="100"/>
        <c:axId val="1771617408"/>
        <c:axId val="1771618848"/>
      </c:barChart>
      <c:catAx>
        <c:axId val="177161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618848"/>
        <c:crosses val="autoZero"/>
        <c:auto val="1"/>
        <c:lblAlgn val="ctr"/>
        <c:lblOffset val="100"/>
        <c:noMultiLvlLbl val="0"/>
      </c:catAx>
      <c:valAx>
        <c:axId val="177161884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771617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Analysis!$N$80</c:f>
              <c:strCache>
                <c:ptCount val="1"/>
                <c:pt idx="0">
                  <c:v>Sum of Debit</c:v>
                </c:pt>
              </c:strCache>
            </c:strRef>
          </c:tx>
          <c:spPr>
            <a:solidFill>
              <a:schemeClr val="accent1"/>
            </a:solidFill>
            <a:ln>
              <a:noFill/>
            </a:ln>
            <a:effectLst/>
          </c:spPr>
          <c:invertIfNegative val="0"/>
          <c:cat>
            <c:strRef>
              <c:f>Analysis!$M$81:$M$90</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Analysis!$N$81:$N$90</c:f>
              <c:numCache>
                <c:formatCode>General</c:formatCode>
                <c:ptCount val="10"/>
                <c:pt idx="0">
                  <c:v>2874</c:v>
                </c:pt>
                <c:pt idx="1">
                  <c:v>2904.6000000000004</c:v>
                </c:pt>
                <c:pt idx="2">
                  <c:v>3049.7</c:v>
                </c:pt>
                <c:pt idx="3">
                  <c:v>3038.0000000000005</c:v>
                </c:pt>
                <c:pt idx="4">
                  <c:v>3116.1</c:v>
                </c:pt>
                <c:pt idx="5">
                  <c:v>3005.7</c:v>
                </c:pt>
                <c:pt idx="6">
                  <c:v>3065</c:v>
                </c:pt>
                <c:pt idx="7">
                  <c:v>2952.0999999999995</c:v>
                </c:pt>
                <c:pt idx="8">
                  <c:v>3087.1</c:v>
                </c:pt>
                <c:pt idx="9">
                  <c:v>3098.7</c:v>
                </c:pt>
              </c:numCache>
            </c:numRef>
          </c:val>
          <c:extLst>
            <c:ext xmlns:c16="http://schemas.microsoft.com/office/drawing/2014/chart" uri="{C3380CC4-5D6E-409C-BE32-E72D297353CC}">
              <c16:uniqueId val="{00000000-2634-4B08-B819-003255DCDA61}"/>
            </c:ext>
          </c:extLst>
        </c:ser>
        <c:dLbls>
          <c:showLegendKey val="0"/>
          <c:showVal val="0"/>
          <c:showCatName val="0"/>
          <c:showSerName val="0"/>
          <c:showPercent val="0"/>
          <c:showBubbleSize val="0"/>
        </c:dLbls>
        <c:gapWidth val="219"/>
        <c:overlap val="-27"/>
        <c:axId val="527464831"/>
        <c:axId val="527480671"/>
      </c:barChart>
      <c:catAx>
        <c:axId val="52746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480671"/>
        <c:crosses val="autoZero"/>
        <c:auto val="1"/>
        <c:lblAlgn val="ctr"/>
        <c:lblOffset val="100"/>
        <c:noMultiLvlLbl val="0"/>
      </c:catAx>
      <c:valAx>
        <c:axId val="5274806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27464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fmtOvrs>
    <cx:fmtOvr idx="1">
      <cx:spPr>
        <a:solidFill>
          <a:srgbClr val="FF5858"/>
        </a:solidFill>
      </cx:spPr>
    </cx:fmtOvr>
    <cx:fmtOvr idx="2">
      <cx:spPr>
        <a:solidFill>
          <a:schemeClr val="bg1">
            <a:lumMod val="75000"/>
          </a:schemeClr>
        </a:solidFill>
      </cx:spPr>
    </cx:fmtOvr>
  </cx:fmtOvrs>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0005B645-C615-4240-B097-4C6B6943EC49}">
          <cx:tx>
            <cx:txData>
              <cx:f>_xlchart.v5.1</cx:f>
              <cx:v>Sum of Amount</cx:v>
            </cx:txData>
          </cx:tx>
          <cx:dataLabels pos="outEnd">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visibility seriesName="0" categoryName="0" value="1"/>
            <cx:separator>, </cx:separator>
          </cx:dataLabels>
          <cx:dataId val="0"/>
          <cx:layoutPr>
            <cx:subtotals>
              <cx:idx val="8"/>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legend>
  </cx:chart>
  <cx:spPr>
    <a:noFill/>
    <a:ln>
      <a:noFill/>
    </a:ln>
  </cx:spPr>
  <cx:fmtOvrs>
    <cx:fmtOvr idx="0">
      <cx:spPr>
        <a:solidFill>
          <a:srgbClr val="5C38FF"/>
        </a:solidFill>
      </cx:spPr>
    </cx:fmtOvr>
    <cx:fmtOvr idx="1">
      <cx:spPr>
        <a:solidFill>
          <a:srgbClr val="FF5858"/>
        </a:solidFill>
      </cx:spPr>
    </cx:fmtOvr>
    <cx:fmtOvr idx="2">
      <cx:spPr>
        <a:solidFill>
          <a:schemeClr val="bg1">
            <a:lumMod val="65000"/>
          </a:schemeClr>
        </a:solidFill>
      </cx:spPr>
    </cx:fmtOvr>
  </cx:fmtOvr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plotArea>
      <cx:plotAreaRegion>
        <cx:series layoutId="waterfall" uniqueId="{0005B645-C615-4240-B097-4C6B6943EC49}">
          <cx:tx>
            <cx:txData>
              <cx:f>_xlchart.v1.4</cx:f>
              <cx:v>Sum of Amount</cx:v>
            </cx:txData>
          </cx:tx>
          <cx:dataLabels>
            <cx:visibility seriesName="0" categoryName="0" value="1"/>
          </cx:dataLabels>
          <cx:dataId val="0"/>
          <cx:layoutPr>
            <cx:subtotals/>
          </cx:layoutPr>
        </cx:series>
      </cx:plotAreaRegion>
      <cx:axis id="0">
        <cx:catScaling gapWidth="0.5"/>
        <cx:tickLabels/>
      </cx:axis>
      <cx:axis id="1" hidden="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M$79"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3" Type="http://schemas.openxmlformats.org/officeDocument/2006/relationships/image" Target="../media/image9.svg"/><Relationship Id="rId18" Type="http://schemas.openxmlformats.org/officeDocument/2006/relationships/image" Target="../media/image14.png"/><Relationship Id="rId26" Type="http://schemas.openxmlformats.org/officeDocument/2006/relationships/image" Target="../media/image17.svg"/><Relationship Id="rId21" Type="http://schemas.openxmlformats.org/officeDocument/2006/relationships/chart" Target="../charts/chart4.xml"/><Relationship Id="rId34" Type="http://schemas.openxmlformats.org/officeDocument/2006/relationships/image" Target="../media/image25.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16.png"/><Relationship Id="rId33" Type="http://schemas.openxmlformats.org/officeDocument/2006/relationships/image" Target="../media/image24.png"/><Relationship Id="rId38" Type="http://schemas.openxmlformats.org/officeDocument/2006/relationships/image" Target="../media/image29.svg"/><Relationship Id="rId2" Type="http://schemas.openxmlformats.org/officeDocument/2006/relationships/image" Target="../media/image1.png"/><Relationship Id="rId16" Type="http://schemas.openxmlformats.org/officeDocument/2006/relationships/image" Target="../media/image12.png"/><Relationship Id="rId20" Type="http://schemas.openxmlformats.org/officeDocument/2006/relationships/chart" Target="../charts/chart3.xml"/><Relationship Id="rId29" Type="http://schemas.openxmlformats.org/officeDocument/2006/relationships/image" Target="../media/image20.png"/><Relationship Id="rId1" Type="http://schemas.openxmlformats.org/officeDocument/2006/relationships/hyperlink" Target="#Analysis!A1"/><Relationship Id="rId6" Type="http://schemas.openxmlformats.org/officeDocument/2006/relationships/image" Target="../media/image2.png"/><Relationship Id="rId11" Type="http://schemas.openxmlformats.org/officeDocument/2006/relationships/image" Target="../media/image7.svg"/><Relationship Id="rId24" Type="http://schemas.microsoft.com/office/2014/relationships/chartEx" Target="../charts/chartEx2.xml"/><Relationship Id="rId32" Type="http://schemas.openxmlformats.org/officeDocument/2006/relationships/image" Target="../media/image23.svg"/><Relationship Id="rId37" Type="http://schemas.openxmlformats.org/officeDocument/2006/relationships/image" Target="../media/image28.png"/><Relationship Id="rId5" Type="http://schemas.openxmlformats.org/officeDocument/2006/relationships/chart" Target="../charts/chart2.xml"/><Relationship Id="rId15" Type="http://schemas.openxmlformats.org/officeDocument/2006/relationships/image" Target="../media/image11.svg"/><Relationship Id="rId23" Type="http://schemas.microsoft.com/office/2014/relationships/chartEx" Target="../charts/chartEx1.xml"/><Relationship Id="rId28" Type="http://schemas.openxmlformats.org/officeDocument/2006/relationships/image" Target="../media/image19.svg"/><Relationship Id="rId36" Type="http://schemas.openxmlformats.org/officeDocument/2006/relationships/image" Target="../media/image27.svg"/><Relationship Id="rId10" Type="http://schemas.openxmlformats.org/officeDocument/2006/relationships/image" Target="../media/image6.png"/><Relationship Id="rId19" Type="http://schemas.openxmlformats.org/officeDocument/2006/relationships/image" Target="../media/image15.svg"/><Relationship Id="rId31" Type="http://schemas.openxmlformats.org/officeDocument/2006/relationships/image" Target="../media/image22.png"/><Relationship Id="rId4" Type="http://schemas.openxmlformats.org/officeDocument/2006/relationships/chart" Target="../charts/chart1.xml"/><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chart" Target="../charts/chart5.xml"/><Relationship Id="rId27" Type="http://schemas.openxmlformats.org/officeDocument/2006/relationships/image" Target="../media/image18.png"/><Relationship Id="rId30" Type="http://schemas.openxmlformats.org/officeDocument/2006/relationships/image" Target="../media/image21.svg"/><Relationship Id="rId35" Type="http://schemas.openxmlformats.org/officeDocument/2006/relationships/image" Target="../media/image26.png"/><Relationship Id="rId8" Type="http://schemas.openxmlformats.org/officeDocument/2006/relationships/image" Target="../media/image4.png"/><Relationship Id="rId3"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microsoft.com/office/2014/relationships/chartEx" Target="../charts/chartEx3.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8" Type="http://schemas.openxmlformats.org/officeDocument/2006/relationships/image" Target="../media/image37.svg"/><Relationship Id="rId13" Type="http://schemas.openxmlformats.org/officeDocument/2006/relationships/image" Target="../media/image42.png"/><Relationship Id="rId18" Type="http://schemas.openxmlformats.org/officeDocument/2006/relationships/image" Target="../media/image17.svg"/><Relationship Id="rId26" Type="http://schemas.openxmlformats.org/officeDocument/2006/relationships/image" Target="../media/image25.svg"/><Relationship Id="rId3" Type="http://schemas.openxmlformats.org/officeDocument/2006/relationships/image" Target="../media/image32.png"/><Relationship Id="rId21" Type="http://schemas.openxmlformats.org/officeDocument/2006/relationships/image" Target="../media/image8.png"/><Relationship Id="rId7" Type="http://schemas.openxmlformats.org/officeDocument/2006/relationships/image" Target="../media/image36.png"/><Relationship Id="rId12" Type="http://schemas.openxmlformats.org/officeDocument/2006/relationships/image" Target="../media/image41.svg"/><Relationship Id="rId17" Type="http://schemas.openxmlformats.org/officeDocument/2006/relationships/image" Target="../media/image16.png"/><Relationship Id="rId25" Type="http://schemas.openxmlformats.org/officeDocument/2006/relationships/image" Target="../media/image24.png"/><Relationship Id="rId2" Type="http://schemas.openxmlformats.org/officeDocument/2006/relationships/image" Target="../media/image31.svg"/><Relationship Id="rId16" Type="http://schemas.openxmlformats.org/officeDocument/2006/relationships/image" Target="../media/image45.svg"/><Relationship Id="rId20" Type="http://schemas.openxmlformats.org/officeDocument/2006/relationships/image" Target="../media/image27.svg"/><Relationship Id="rId1" Type="http://schemas.openxmlformats.org/officeDocument/2006/relationships/image" Target="../media/image30.png"/><Relationship Id="rId6" Type="http://schemas.openxmlformats.org/officeDocument/2006/relationships/image" Target="../media/image35.svg"/><Relationship Id="rId11" Type="http://schemas.openxmlformats.org/officeDocument/2006/relationships/image" Target="../media/image40.png"/><Relationship Id="rId24" Type="http://schemas.openxmlformats.org/officeDocument/2006/relationships/image" Target="../media/image19.svg"/><Relationship Id="rId5" Type="http://schemas.openxmlformats.org/officeDocument/2006/relationships/image" Target="../media/image34.png"/><Relationship Id="rId15" Type="http://schemas.openxmlformats.org/officeDocument/2006/relationships/image" Target="../media/image44.png"/><Relationship Id="rId23" Type="http://schemas.openxmlformats.org/officeDocument/2006/relationships/image" Target="../media/image18.png"/><Relationship Id="rId28" Type="http://schemas.microsoft.com/office/2007/relationships/hdphoto" Target="../media/hdphoto1.wdp"/><Relationship Id="rId10" Type="http://schemas.openxmlformats.org/officeDocument/2006/relationships/image" Target="../media/image39.svg"/><Relationship Id="rId19" Type="http://schemas.openxmlformats.org/officeDocument/2006/relationships/image" Target="../media/image26.png"/><Relationship Id="rId4" Type="http://schemas.openxmlformats.org/officeDocument/2006/relationships/image" Target="../media/image33.svg"/><Relationship Id="rId9" Type="http://schemas.openxmlformats.org/officeDocument/2006/relationships/image" Target="../media/image38.png"/><Relationship Id="rId14" Type="http://schemas.openxmlformats.org/officeDocument/2006/relationships/image" Target="../media/image43.svg"/><Relationship Id="rId22" Type="http://schemas.openxmlformats.org/officeDocument/2006/relationships/image" Target="../media/image46.svg"/><Relationship Id="rId27"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19</xdr:col>
      <xdr:colOff>411479</xdr:colOff>
      <xdr:row>5</xdr:row>
      <xdr:rowOff>83128</xdr:rowOff>
    </xdr:from>
    <xdr:to>
      <xdr:col>20</xdr:col>
      <xdr:colOff>180800</xdr:colOff>
      <xdr:row>35</xdr:row>
      <xdr:rowOff>103909</xdr:rowOff>
    </xdr:to>
    <xdr:sp macro="" textlink="">
      <xdr:nvSpPr>
        <xdr:cNvPr id="24" name="Rectangle 23">
          <a:extLst>
            <a:ext uri="{FF2B5EF4-FFF2-40B4-BE49-F238E27FC236}">
              <a16:creationId xmlns:a16="http://schemas.microsoft.com/office/drawing/2014/main" id="{00000000-0008-0000-0100-000018000000}"/>
            </a:ext>
          </a:extLst>
        </xdr:cNvPr>
        <xdr:cNvSpPr/>
      </xdr:nvSpPr>
      <xdr:spPr>
        <a:xfrm>
          <a:off x="11779134" y="983673"/>
          <a:ext cx="378921" cy="5424054"/>
        </a:xfrm>
        <a:prstGeom prst="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360219</xdr:colOff>
      <xdr:row>1</xdr:row>
      <xdr:rowOff>173182</xdr:rowOff>
    </xdr:from>
    <xdr:to>
      <xdr:col>20</xdr:col>
      <xdr:colOff>214743</xdr:colOff>
      <xdr:row>35</xdr:row>
      <xdr:rowOff>145473</xdr:rowOff>
    </xdr:to>
    <xdr:grpSp>
      <xdr:nvGrpSpPr>
        <xdr:cNvPr id="103" name="Group 102">
          <a:hlinkClick xmlns:r="http://schemas.openxmlformats.org/officeDocument/2006/relationships" r:id="rId1"/>
          <a:extLst>
            <a:ext uri="{FF2B5EF4-FFF2-40B4-BE49-F238E27FC236}">
              <a16:creationId xmlns:a16="http://schemas.microsoft.com/office/drawing/2014/main" id="{00000000-0008-0000-0100-000067000000}"/>
            </a:ext>
          </a:extLst>
        </xdr:cNvPr>
        <xdr:cNvGrpSpPr/>
      </xdr:nvGrpSpPr>
      <xdr:grpSpPr>
        <a:xfrm>
          <a:off x="55419" y="96982"/>
          <a:ext cx="11795064" cy="6182591"/>
          <a:chOff x="360219" y="353291"/>
          <a:chExt cx="11831779" cy="6096000"/>
        </a:xfrm>
      </xdr:grpSpPr>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29241" y="365761"/>
            <a:ext cx="11662757" cy="457200"/>
          </a:xfrm>
          <a:prstGeom prst="roundRect">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grpSp>
        <xdr:nvGrpSpPr>
          <xdr:cNvPr id="5" name="Group 4">
            <a:extLst>
              <a:ext uri="{FF2B5EF4-FFF2-40B4-BE49-F238E27FC236}">
                <a16:creationId xmlns:a16="http://schemas.microsoft.com/office/drawing/2014/main" id="{00000000-0008-0000-0100-000005000000}"/>
              </a:ext>
            </a:extLst>
          </xdr:cNvPr>
          <xdr:cNvGrpSpPr/>
        </xdr:nvGrpSpPr>
        <xdr:grpSpPr>
          <a:xfrm>
            <a:off x="360219" y="353291"/>
            <a:ext cx="346364" cy="6096000"/>
            <a:chOff x="361603" y="107820"/>
            <a:chExt cx="395825" cy="6551329"/>
          </a:xfrm>
        </xdr:grpSpPr>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64820" y="129927"/>
              <a:ext cx="292608" cy="6506387"/>
            </a:xfrm>
            <a:prstGeom prst="roundRect">
              <a:avLst>
                <a:gd name="adj" fmla="val 11111"/>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1603" y="107820"/>
              <a:ext cx="283464" cy="6551329"/>
            </a:xfrm>
            <a:prstGeom prst="roundRect">
              <a:avLst>
                <a:gd name="adj" fmla="val 0"/>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clientData/>
  </xdr:twoCellAnchor>
  <xdr:twoCellAnchor>
    <xdr:from>
      <xdr:col>1</xdr:col>
      <xdr:colOff>461356</xdr:colOff>
      <xdr:row>1</xdr:row>
      <xdr:rowOff>145473</xdr:rowOff>
    </xdr:from>
    <xdr:to>
      <xdr:col>4</xdr:col>
      <xdr:colOff>13855</xdr:colOff>
      <xdr:row>5</xdr:row>
      <xdr:rowOff>117765</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856211" y="325582"/>
          <a:ext cx="1381299" cy="69272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t>Finance </a:t>
          </a:r>
          <a:r>
            <a:rPr lang="en-US" sz="1200" b="1">
              <a:solidFill>
                <a:schemeClr val="lt1"/>
              </a:solidFill>
              <a:effectLst/>
              <a:latin typeface="+mn-lt"/>
              <a:ea typeface="+mn-ea"/>
              <a:cs typeface="+mn-cs"/>
            </a:rPr>
            <a:t>Dashboard</a:t>
          </a:r>
          <a:endParaRPr lang="en-US" sz="1200" b="1">
            <a:effectLst/>
          </a:endParaRPr>
        </a:p>
        <a:p>
          <a:pPr algn="ctr"/>
          <a:endParaRPr lang="en-US" sz="1200" b="1"/>
        </a:p>
      </xdr:txBody>
    </xdr:sp>
    <xdr:clientData/>
  </xdr:twoCellAnchor>
  <xdr:twoCellAnchor>
    <xdr:from>
      <xdr:col>0</xdr:col>
      <xdr:colOff>368531</xdr:colOff>
      <xdr:row>2</xdr:row>
      <xdr:rowOff>178723</xdr:rowOff>
    </xdr:from>
    <xdr:to>
      <xdr:col>2</xdr:col>
      <xdr:colOff>545176</xdr:colOff>
      <xdr:row>4</xdr:row>
      <xdr:rowOff>94903</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368531" y="538941"/>
          <a:ext cx="1181100" cy="276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a:p>
      </xdr:txBody>
    </xdr:sp>
    <xdr:clientData/>
  </xdr:twoCellAnchor>
  <xdr:twoCellAnchor>
    <xdr:from>
      <xdr:col>13</xdr:col>
      <xdr:colOff>36022</xdr:colOff>
      <xdr:row>2</xdr:row>
      <xdr:rowOff>85899</xdr:rowOff>
    </xdr:from>
    <xdr:to>
      <xdr:col>14</xdr:col>
      <xdr:colOff>424642</xdr:colOff>
      <xdr:row>4</xdr:row>
      <xdr:rowOff>4850</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7746077" y="446117"/>
          <a:ext cx="998220" cy="27916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Start Date</a:t>
          </a:r>
        </a:p>
      </xdr:txBody>
    </xdr:sp>
    <xdr:clientData/>
  </xdr:twoCellAnchor>
  <xdr:twoCellAnchor>
    <xdr:from>
      <xdr:col>16</xdr:col>
      <xdr:colOff>459971</xdr:colOff>
      <xdr:row>2</xdr:row>
      <xdr:rowOff>83127</xdr:rowOff>
    </xdr:from>
    <xdr:to>
      <xdr:col>18</xdr:col>
      <xdr:colOff>231371</xdr:colOff>
      <xdr:row>3</xdr:row>
      <xdr:rowOff>166947</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9998826" y="443345"/>
          <a:ext cx="990600" cy="2639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End Date</a:t>
          </a:r>
        </a:p>
      </xdr:txBody>
    </xdr:sp>
    <xdr:clientData/>
  </xdr:twoCellAnchor>
  <xdr:twoCellAnchor>
    <xdr:from>
      <xdr:col>4</xdr:col>
      <xdr:colOff>282631</xdr:colOff>
      <xdr:row>1</xdr:row>
      <xdr:rowOff>57496</xdr:rowOff>
    </xdr:from>
    <xdr:to>
      <xdr:col>12</xdr:col>
      <xdr:colOff>96980</xdr:colOff>
      <xdr:row>4</xdr:row>
      <xdr:rowOff>145473</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2506286" y="237605"/>
          <a:ext cx="4691149" cy="62830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Personal Financials Analysis</a:t>
          </a:r>
        </a:p>
      </xdr:txBody>
    </xdr:sp>
    <xdr:clientData/>
  </xdr:twoCellAnchor>
  <xdr:twoCellAnchor editAs="oneCell">
    <xdr:from>
      <xdr:col>4</xdr:col>
      <xdr:colOff>477980</xdr:colOff>
      <xdr:row>2</xdr:row>
      <xdr:rowOff>24937</xdr:rowOff>
    </xdr:from>
    <xdr:to>
      <xdr:col>5</xdr:col>
      <xdr:colOff>468279</xdr:colOff>
      <xdr:row>4</xdr:row>
      <xdr:rowOff>103910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 cstate="print">
          <a:duotone>
            <a:prstClr val="black"/>
            <a:srgbClr val="D9C3A5">
              <a:tint val="50000"/>
              <a:satMod val="180000"/>
            </a:srgbClr>
          </a:duotone>
          <a:extLst>
            <a:ext uri="{BEBA8EAE-BF5A-486C-A8C5-ECC9F3942E4B}">
              <a14:imgProps xmlns:a14="http://schemas.microsoft.com/office/drawing/2010/main">
                <a14:imgLayer r:embed="rId3">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2701635" y="385155"/>
          <a:ext cx="599899" cy="439191"/>
        </a:xfrm>
        <a:prstGeom prst="rect">
          <a:avLst/>
        </a:prstGeom>
      </xdr:spPr>
    </xdr:pic>
    <xdr:clientData/>
  </xdr:twoCellAnchor>
  <xdr:twoCellAnchor>
    <xdr:from>
      <xdr:col>12</xdr:col>
      <xdr:colOff>138545</xdr:colOff>
      <xdr:row>2</xdr:row>
      <xdr:rowOff>124691</xdr:rowOff>
    </xdr:from>
    <xdr:to>
      <xdr:col>12</xdr:col>
      <xdr:colOff>509847</xdr:colOff>
      <xdr:row>4</xdr:row>
      <xdr:rowOff>0</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6897485" y="223751"/>
          <a:ext cx="371302" cy="241069"/>
          <a:chOff x="10906125" y="238125"/>
          <a:chExt cx="228600" cy="171450"/>
        </a:xfrm>
      </xdr:grpSpPr>
      <xdr:cxnSp macro="">
        <xdr:nvCxnSpPr>
          <xdr:cNvPr id="14" name="Straight Connector 13">
            <a:extLst>
              <a:ext uri="{FF2B5EF4-FFF2-40B4-BE49-F238E27FC236}">
                <a16:creationId xmlns:a16="http://schemas.microsoft.com/office/drawing/2014/main" id="{00000000-0008-0000-0100-00000E000000}"/>
              </a:ext>
            </a:extLst>
          </xdr:cNvPr>
          <xdr:cNvCxnSpPr/>
        </xdr:nvCxnSpPr>
        <xdr:spPr>
          <a:xfrm>
            <a:off x="109061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100-00000F000000}"/>
              </a:ext>
            </a:extLst>
          </xdr:cNvPr>
          <xdr:cNvCxnSpPr/>
        </xdr:nvCxnSpPr>
        <xdr:spPr>
          <a:xfrm>
            <a:off x="111347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422437</xdr:colOff>
      <xdr:row>25</xdr:row>
      <xdr:rowOff>110837</xdr:rowOff>
    </xdr:from>
    <xdr:to>
      <xdr:col>13</xdr:col>
      <xdr:colOff>568741</xdr:colOff>
      <xdr:row>35</xdr:row>
      <xdr:rowOff>138546</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817292" y="4613564"/>
          <a:ext cx="7461504" cy="1828800"/>
        </a:xfrm>
        <a:prstGeom prst="roundRect">
          <a:avLst>
            <a:gd name="adj" fmla="val 486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44335</xdr:colOff>
      <xdr:row>25</xdr:row>
      <xdr:rowOff>76200</xdr:rowOff>
    </xdr:from>
    <xdr:to>
      <xdr:col>16</xdr:col>
      <xdr:colOff>332509</xdr:colOff>
      <xdr:row>35</xdr:row>
      <xdr:rowOff>103909</xdr:rowOff>
    </xdr:to>
    <xdr:sp macro=""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8363990" y="4578927"/>
          <a:ext cx="1507374" cy="1828800"/>
        </a:xfrm>
        <a:prstGeom prst="roundRect">
          <a:avLst>
            <a:gd name="adj" fmla="val 486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602672</xdr:colOff>
      <xdr:row>27</xdr:row>
      <xdr:rowOff>83129</xdr:rowOff>
    </xdr:from>
    <xdr:to>
      <xdr:col>16</xdr:col>
      <xdr:colOff>311727</xdr:colOff>
      <xdr:row>34</xdr:row>
      <xdr:rowOff>173181</xdr:rowOff>
    </xdr:to>
    <xdr:graphicFrame macro="">
      <xdr:nvGraphicFramePr>
        <xdr:cNvPr id="26" name="Chart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453043</xdr:colOff>
      <xdr:row>13</xdr:row>
      <xdr:rowOff>138546</xdr:rowOff>
    </xdr:from>
    <xdr:to>
      <xdr:col>16</xdr:col>
      <xdr:colOff>331123</xdr:colOff>
      <xdr:row>25</xdr:row>
      <xdr:rowOff>16349</xdr:rowOff>
    </xdr:to>
    <xdr:sp macro="" textlink="">
      <xdr:nvSpPr>
        <xdr:cNvPr id="38" name="Rectangle: Rounded Corners 37">
          <a:extLst>
            <a:ext uri="{FF2B5EF4-FFF2-40B4-BE49-F238E27FC236}">
              <a16:creationId xmlns:a16="http://schemas.microsoft.com/office/drawing/2014/main" id="{00000000-0008-0000-0100-000026000000}"/>
            </a:ext>
          </a:extLst>
        </xdr:cNvPr>
        <xdr:cNvSpPr/>
      </xdr:nvSpPr>
      <xdr:spPr>
        <a:xfrm>
          <a:off x="6943898" y="2479964"/>
          <a:ext cx="2926080" cy="2039112"/>
        </a:xfrm>
        <a:prstGeom prst="roundRect">
          <a:avLst>
            <a:gd name="adj" fmla="val 1291"/>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487678</xdr:colOff>
      <xdr:row>13</xdr:row>
      <xdr:rowOff>92133</xdr:rowOff>
    </xdr:from>
    <xdr:to>
      <xdr:col>17</xdr:col>
      <xdr:colOff>69272</xdr:colOff>
      <xdr:row>24</xdr:row>
      <xdr:rowOff>96982</xdr:rowOff>
    </xdr:to>
    <xdr:graphicFrame macro="">
      <xdr:nvGraphicFramePr>
        <xdr:cNvPr id="47" name="Chart 46">
          <a:extLst>
            <a:ext uri="{FF2B5EF4-FFF2-40B4-BE49-F238E27FC236}">
              <a16:creationId xmlns:a16="http://schemas.microsoft.com/office/drawing/2014/main" id="{00000000-0008-0000-01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43</xdr:row>
      <xdr:rowOff>64421</xdr:rowOff>
    </xdr:from>
    <xdr:to>
      <xdr:col>0</xdr:col>
      <xdr:colOff>0</xdr:colOff>
      <xdr:row>49</xdr:row>
      <xdr:rowOff>26183</xdr:rowOff>
    </xdr:to>
    <xdr:sp macro="" textlink="">
      <xdr:nvSpPr>
        <xdr:cNvPr id="49" name="Rectangle: Rounded Corners 48">
          <a:extLst>
            <a:ext uri="{FF2B5EF4-FFF2-40B4-BE49-F238E27FC236}">
              <a16:creationId xmlns:a16="http://schemas.microsoft.com/office/drawing/2014/main" id="{00000000-0008-0000-0100-000031000000}"/>
            </a:ext>
          </a:extLst>
        </xdr:cNvPr>
        <xdr:cNvSpPr/>
      </xdr:nvSpPr>
      <xdr:spPr>
        <a:xfrm>
          <a:off x="0" y="7809112"/>
          <a:ext cx="0" cy="1042416"/>
        </a:xfrm>
        <a:prstGeom prst="roundRect">
          <a:avLst>
            <a:gd name="adj" fmla="val 129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425335</xdr:colOff>
      <xdr:row>5</xdr:row>
      <xdr:rowOff>92134</xdr:rowOff>
    </xdr:from>
    <xdr:to>
      <xdr:col>3</xdr:col>
      <xdr:colOff>285127</xdr:colOff>
      <xdr:row>12</xdr:row>
      <xdr:rowOff>111530</xdr:rowOff>
    </xdr:to>
    <xdr:sp macro="" textlink="">
      <xdr:nvSpPr>
        <xdr:cNvPr id="48" name="Rectangle: Rounded Corners 47">
          <a:extLst>
            <a:ext uri="{FF2B5EF4-FFF2-40B4-BE49-F238E27FC236}">
              <a16:creationId xmlns:a16="http://schemas.microsoft.com/office/drawing/2014/main" id="{00000000-0008-0000-0100-000030000000}"/>
            </a:ext>
          </a:extLst>
        </xdr:cNvPr>
        <xdr:cNvSpPr/>
      </xdr:nvSpPr>
      <xdr:spPr>
        <a:xfrm>
          <a:off x="820190" y="992679"/>
          <a:ext cx="1078992" cy="1280160"/>
        </a:xfrm>
        <a:prstGeom prst="roundRect">
          <a:avLst>
            <a:gd name="adj" fmla="val 0"/>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242453</xdr:colOff>
      <xdr:row>5</xdr:row>
      <xdr:rowOff>173183</xdr:rowOff>
    </xdr:from>
    <xdr:to>
      <xdr:col>2</xdr:col>
      <xdr:colOff>522253</xdr:colOff>
      <xdr:row>8</xdr:row>
      <xdr:rowOff>20491</xdr:rowOff>
    </xdr:to>
    <xdr:pic>
      <xdr:nvPicPr>
        <xdr:cNvPr id="55" name="Graphic 54" descr="Suburban scene">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46908" y="1073728"/>
          <a:ext cx="279800" cy="387636"/>
        </a:xfrm>
        <a:prstGeom prst="rect">
          <a:avLst/>
        </a:prstGeom>
      </xdr:spPr>
    </xdr:pic>
    <xdr:clientData/>
  </xdr:twoCellAnchor>
  <xdr:twoCellAnchor>
    <xdr:from>
      <xdr:col>1</xdr:col>
      <xdr:colOff>540327</xdr:colOff>
      <xdr:row>8</xdr:row>
      <xdr:rowOff>152399</xdr:rowOff>
    </xdr:from>
    <xdr:to>
      <xdr:col>3</xdr:col>
      <xdr:colOff>166255</xdr:colOff>
      <xdr:row>10</xdr:row>
      <xdr:rowOff>0</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935182" y="1593272"/>
          <a:ext cx="845128" cy="207819"/>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ysClr val="windowText" lastClr="000000"/>
              </a:solidFill>
            </a:rPr>
            <a:t>Living Expenses</a:t>
          </a:r>
        </a:p>
      </xdr:txBody>
    </xdr:sp>
    <xdr:clientData/>
  </xdr:twoCellAnchor>
  <xdr:twoCellAnchor>
    <xdr:from>
      <xdr:col>1</xdr:col>
      <xdr:colOff>540328</xdr:colOff>
      <xdr:row>10</xdr:row>
      <xdr:rowOff>76198</xdr:rowOff>
    </xdr:from>
    <xdr:to>
      <xdr:col>3</xdr:col>
      <xdr:colOff>166256</xdr:colOff>
      <xdr:row>11</xdr:row>
      <xdr:rowOff>103908</xdr:rowOff>
    </xdr:to>
    <xdr:sp macro="" textlink="Analysis!I69">
      <xdr:nvSpPr>
        <xdr:cNvPr id="69" name="TextBox 68">
          <a:extLst>
            <a:ext uri="{FF2B5EF4-FFF2-40B4-BE49-F238E27FC236}">
              <a16:creationId xmlns:a16="http://schemas.microsoft.com/office/drawing/2014/main" id="{00000000-0008-0000-0100-000045000000}"/>
            </a:ext>
          </a:extLst>
        </xdr:cNvPr>
        <xdr:cNvSpPr txBox="1"/>
      </xdr:nvSpPr>
      <xdr:spPr>
        <a:xfrm>
          <a:off x="935183" y="1877289"/>
          <a:ext cx="845128" cy="207819"/>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69B8472-95CA-4B53-A6D9-A8E69C7AFD2A}" type="TxLink">
            <a:rPr lang="en-US" sz="1100" b="0" i="0" u="none" strike="noStrike">
              <a:solidFill>
                <a:schemeClr val="bg1"/>
              </a:solidFill>
              <a:latin typeface="Agency FB" panose="020B0503020202020204" pitchFamily="34" charset="0"/>
              <a:ea typeface="Calibri"/>
              <a:cs typeface="Calibri"/>
            </a:rPr>
            <a:pPr algn="ctr"/>
            <a:t>$16,400</a:t>
          </a:fld>
          <a:endParaRPr lang="en-US" sz="800">
            <a:solidFill>
              <a:schemeClr val="bg1"/>
            </a:solidFill>
            <a:latin typeface="Agency FB" panose="020B0503020202020204" pitchFamily="34" charset="0"/>
          </a:endParaRPr>
        </a:p>
      </xdr:txBody>
    </xdr:sp>
    <xdr:clientData/>
  </xdr:twoCellAnchor>
  <xdr:twoCellAnchor>
    <xdr:from>
      <xdr:col>4</xdr:col>
      <xdr:colOff>166255</xdr:colOff>
      <xdr:row>5</xdr:row>
      <xdr:rowOff>92134</xdr:rowOff>
    </xdr:from>
    <xdr:to>
      <xdr:col>6</xdr:col>
      <xdr:colOff>26047</xdr:colOff>
      <xdr:row>12</xdr:row>
      <xdr:rowOff>111530</xdr:rowOff>
    </xdr:to>
    <xdr:sp macro="" textlink="">
      <xdr:nvSpPr>
        <xdr:cNvPr id="50" name="Rectangle: Rounded Corners 49">
          <a:extLst>
            <a:ext uri="{FF2B5EF4-FFF2-40B4-BE49-F238E27FC236}">
              <a16:creationId xmlns:a16="http://schemas.microsoft.com/office/drawing/2014/main" id="{00000000-0008-0000-0100-000032000000}"/>
            </a:ext>
          </a:extLst>
        </xdr:cNvPr>
        <xdr:cNvSpPr/>
      </xdr:nvSpPr>
      <xdr:spPr>
        <a:xfrm>
          <a:off x="2389910" y="992679"/>
          <a:ext cx="1078992" cy="1280160"/>
        </a:xfrm>
        <a:prstGeom prst="roundRect">
          <a:avLst>
            <a:gd name="adj" fmla="val 1291"/>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566653</xdr:colOff>
      <xdr:row>5</xdr:row>
      <xdr:rowOff>173181</xdr:rowOff>
    </xdr:from>
    <xdr:to>
      <xdr:col>5</xdr:col>
      <xdr:colOff>304800</xdr:colOff>
      <xdr:row>8</xdr:row>
      <xdr:rowOff>87054</xdr:rowOff>
    </xdr:to>
    <xdr:grpSp>
      <xdr:nvGrpSpPr>
        <xdr:cNvPr id="60" name="Group 59">
          <a:extLst>
            <a:ext uri="{FF2B5EF4-FFF2-40B4-BE49-F238E27FC236}">
              <a16:creationId xmlns:a16="http://schemas.microsoft.com/office/drawing/2014/main" id="{00000000-0008-0000-0100-00003C000000}"/>
            </a:ext>
          </a:extLst>
        </xdr:cNvPr>
        <xdr:cNvGrpSpPr/>
      </xdr:nvGrpSpPr>
      <xdr:grpSpPr>
        <a:xfrm>
          <a:off x="2448793" y="820881"/>
          <a:ext cx="347747" cy="462513"/>
          <a:chOff x="2724150" y="5556542"/>
          <a:chExt cx="534907" cy="550489"/>
        </a:xfrm>
        <a:solidFill>
          <a:schemeClr val="tx1">
            <a:lumMod val="85000"/>
            <a:lumOff val="15000"/>
          </a:schemeClr>
        </a:solidFill>
      </xdr:grpSpPr>
      <xdr:pic>
        <xdr:nvPicPr>
          <xdr:cNvPr id="61" name="Graphic 60" descr="Fruit bowl">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8"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877303" y="5556542"/>
            <a:ext cx="228600" cy="228600"/>
          </a:xfrm>
          <a:prstGeom prst="rect">
            <a:avLst/>
          </a:prstGeom>
        </xdr:spPr>
      </xdr:pic>
      <xdr:pic>
        <xdr:nvPicPr>
          <xdr:cNvPr id="62" name="Graphic 61" descr="Table and chairs with solid fill">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10">
            <a:lum bright="70000" contrast="-7000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724150" y="5572124"/>
            <a:ext cx="534907" cy="534907"/>
          </a:xfrm>
          <a:prstGeom prst="rect">
            <a:avLst/>
          </a:prstGeom>
        </xdr:spPr>
      </xdr:pic>
    </xdr:grpSp>
    <xdr:clientData/>
  </xdr:twoCellAnchor>
  <xdr:twoCellAnchor>
    <xdr:from>
      <xdr:col>4</xdr:col>
      <xdr:colOff>268778</xdr:colOff>
      <xdr:row>8</xdr:row>
      <xdr:rowOff>152399</xdr:rowOff>
    </xdr:from>
    <xdr:to>
      <xdr:col>5</xdr:col>
      <xdr:colOff>504306</xdr:colOff>
      <xdr:row>10</xdr:row>
      <xdr:rowOff>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2492433" y="1593272"/>
          <a:ext cx="845128" cy="207819"/>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ysClr val="windowText" lastClr="000000"/>
              </a:solidFill>
            </a:rPr>
            <a:t>Dinning</a:t>
          </a:r>
          <a:r>
            <a:rPr lang="en-US" sz="800" baseline="0">
              <a:solidFill>
                <a:sysClr val="windowText" lastClr="000000"/>
              </a:solidFill>
            </a:rPr>
            <a:t> Out</a:t>
          </a:r>
          <a:endParaRPr lang="en-US" sz="800">
            <a:solidFill>
              <a:sysClr val="windowText" lastClr="000000"/>
            </a:solidFill>
          </a:endParaRPr>
        </a:p>
      </xdr:txBody>
    </xdr:sp>
    <xdr:clientData/>
  </xdr:twoCellAnchor>
  <xdr:twoCellAnchor>
    <xdr:from>
      <xdr:col>4</xdr:col>
      <xdr:colOff>275705</xdr:colOff>
      <xdr:row>10</xdr:row>
      <xdr:rowOff>76198</xdr:rowOff>
    </xdr:from>
    <xdr:to>
      <xdr:col>5</xdr:col>
      <xdr:colOff>511233</xdr:colOff>
      <xdr:row>11</xdr:row>
      <xdr:rowOff>103908</xdr:rowOff>
    </xdr:to>
    <xdr:sp macro="" textlink="Analysis!I72">
      <xdr:nvSpPr>
        <xdr:cNvPr id="70" name="TextBox 69">
          <a:extLst>
            <a:ext uri="{FF2B5EF4-FFF2-40B4-BE49-F238E27FC236}">
              <a16:creationId xmlns:a16="http://schemas.microsoft.com/office/drawing/2014/main" id="{00000000-0008-0000-0100-000046000000}"/>
            </a:ext>
          </a:extLst>
        </xdr:cNvPr>
        <xdr:cNvSpPr txBox="1"/>
      </xdr:nvSpPr>
      <xdr:spPr>
        <a:xfrm>
          <a:off x="2499360" y="1877289"/>
          <a:ext cx="845128" cy="207819"/>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4C1892-C05D-4B5B-92CD-D60114BA2F68}" type="TxLink">
            <a:rPr lang="en-US" sz="1100" b="0" i="0" u="none" strike="noStrike">
              <a:solidFill>
                <a:schemeClr val="bg1"/>
              </a:solidFill>
              <a:latin typeface="Agency FB" panose="020B0503020202020204" pitchFamily="34" charset="0"/>
              <a:ea typeface="Calibri"/>
              <a:cs typeface="Calibri"/>
            </a:rPr>
            <a:pPr algn="ctr"/>
            <a:t>$2,474</a:t>
          </a:fld>
          <a:endParaRPr lang="en-US" sz="800">
            <a:solidFill>
              <a:schemeClr val="bg1"/>
            </a:solidFill>
            <a:latin typeface="Agency FB" panose="020B0503020202020204" pitchFamily="34" charset="0"/>
          </a:endParaRPr>
        </a:p>
      </xdr:txBody>
    </xdr:sp>
    <xdr:clientData/>
  </xdr:twoCellAnchor>
  <xdr:twoCellAnchor>
    <xdr:from>
      <xdr:col>6</xdr:col>
      <xdr:colOff>516775</xdr:colOff>
      <xdr:row>5</xdr:row>
      <xdr:rowOff>92134</xdr:rowOff>
    </xdr:from>
    <xdr:to>
      <xdr:col>8</xdr:col>
      <xdr:colOff>376567</xdr:colOff>
      <xdr:row>12</xdr:row>
      <xdr:rowOff>111530</xdr:rowOff>
    </xdr:to>
    <xdr:sp macro="" textlink="">
      <xdr:nvSpPr>
        <xdr:cNvPr id="51" name="Rectangle: Rounded Corners 50">
          <a:extLst>
            <a:ext uri="{FF2B5EF4-FFF2-40B4-BE49-F238E27FC236}">
              <a16:creationId xmlns:a16="http://schemas.microsoft.com/office/drawing/2014/main" id="{00000000-0008-0000-0100-000033000000}"/>
            </a:ext>
          </a:extLst>
        </xdr:cNvPr>
        <xdr:cNvSpPr/>
      </xdr:nvSpPr>
      <xdr:spPr>
        <a:xfrm>
          <a:off x="3959630" y="992679"/>
          <a:ext cx="1078992" cy="1280160"/>
        </a:xfrm>
        <a:prstGeom prst="roundRect">
          <a:avLst>
            <a:gd name="adj" fmla="val 1291"/>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243840</xdr:colOff>
      <xdr:row>5</xdr:row>
      <xdr:rowOff>154480</xdr:rowOff>
    </xdr:from>
    <xdr:to>
      <xdr:col>8</xdr:col>
      <xdr:colOff>79248</xdr:colOff>
      <xdr:row>8</xdr:row>
      <xdr:rowOff>28680</xdr:rowOff>
    </xdr:to>
    <xdr:pic>
      <xdr:nvPicPr>
        <xdr:cNvPr id="59" name="Graphic 58" descr="Money">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12">
          <a:lum bright="70000" contrast="-70000"/>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296295" y="1055025"/>
          <a:ext cx="445008" cy="414528"/>
        </a:xfrm>
        <a:prstGeom prst="rect">
          <a:avLst/>
        </a:prstGeom>
      </xdr:spPr>
    </xdr:pic>
    <xdr:clientData/>
  </xdr:twoCellAnchor>
  <xdr:twoCellAnchor>
    <xdr:from>
      <xdr:col>6</xdr:col>
      <xdr:colOff>606829</xdr:colOff>
      <xdr:row>8</xdr:row>
      <xdr:rowOff>152399</xdr:rowOff>
    </xdr:from>
    <xdr:to>
      <xdr:col>8</xdr:col>
      <xdr:colOff>232757</xdr:colOff>
      <xdr:row>10</xdr:row>
      <xdr:rowOff>0</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4049684" y="1593272"/>
          <a:ext cx="845128" cy="207819"/>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ysClr val="windowText" lastClr="000000"/>
              </a:solidFill>
            </a:rPr>
            <a:t>Charity</a:t>
          </a:r>
        </a:p>
      </xdr:txBody>
    </xdr:sp>
    <xdr:clientData/>
  </xdr:twoCellAnchor>
  <xdr:twoCellAnchor>
    <xdr:from>
      <xdr:col>7</xdr:col>
      <xdr:colOff>11082</xdr:colOff>
      <xdr:row>10</xdr:row>
      <xdr:rowOff>76198</xdr:rowOff>
    </xdr:from>
    <xdr:to>
      <xdr:col>8</xdr:col>
      <xdr:colOff>246610</xdr:colOff>
      <xdr:row>11</xdr:row>
      <xdr:rowOff>103908</xdr:rowOff>
    </xdr:to>
    <xdr:sp macro="" textlink="Analysis!I73">
      <xdr:nvSpPr>
        <xdr:cNvPr id="71" name="TextBox 70">
          <a:extLst>
            <a:ext uri="{FF2B5EF4-FFF2-40B4-BE49-F238E27FC236}">
              <a16:creationId xmlns:a16="http://schemas.microsoft.com/office/drawing/2014/main" id="{00000000-0008-0000-0100-000047000000}"/>
            </a:ext>
          </a:extLst>
        </xdr:cNvPr>
        <xdr:cNvSpPr txBox="1"/>
      </xdr:nvSpPr>
      <xdr:spPr>
        <a:xfrm>
          <a:off x="4063537" y="1877289"/>
          <a:ext cx="845128" cy="207819"/>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AFF73F-690E-4C34-9988-3FD3130B8A24}" type="TxLink">
            <a:rPr lang="en-US" sz="1100" b="0" i="0" u="none" strike="noStrike">
              <a:solidFill>
                <a:schemeClr val="bg1"/>
              </a:solidFill>
              <a:latin typeface="Agency FB" panose="020B0503020202020204" pitchFamily="34" charset="0"/>
              <a:ea typeface="Calibri"/>
              <a:cs typeface="Calibri"/>
            </a:rPr>
            <a:pPr algn="ctr"/>
            <a:t>$550</a:t>
          </a:fld>
          <a:endParaRPr lang="en-US" sz="800">
            <a:solidFill>
              <a:schemeClr val="bg1"/>
            </a:solidFill>
            <a:latin typeface="Agency FB" panose="020B0503020202020204" pitchFamily="34" charset="0"/>
          </a:endParaRPr>
        </a:p>
      </xdr:txBody>
    </xdr:sp>
    <xdr:clientData/>
  </xdr:twoCellAnchor>
  <xdr:twoCellAnchor>
    <xdr:from>
      <xdr:col>9</xdr:col>
      <xdr:colOff>236913</xdr:colOff>
      <xdr:row>5</xdr:row>
      <xdr:rowOff>92134</xdr:rowOff>
    </xdr:from>
    <xdr:to>
      <xdr:col>11</xdr:col>
      <xdr:colOff>96705</xdr:colOff>
      <xdr:row>12</xdr:row>
      <xdr:rowOff>111530</xdr:rowOff>
    </xdr:to>
    <xdr:sp macro="" textlink="">
      <xdr:nvSpPr>
        <xdr:cNvPr id="53" name="Rectangle: Rounded Corners 52">
          <a:extLst>
            <a:ext uri="{FF2B5EF4-FFF2-40B4-BE49-F238E27FC236}">
              <a16:creationId xmlns:a16="http://schemas.microsoft.com/office/drawing/2014/main" id="{00000000-0008-0000-0100-000035000000}"/>
            </a:ext>
          </a:extLst>
        </xdr:cNvPr>
        <xdr:cNvSpPr/>
      </xdr:nvSpPr>
      <xdr:spPr>
        <a:xfrm>
          <a:off x="5508568" y="992679"/>
          <a:ext cx="1078992" cy="1280160"/>
        </a:xfrm>
        <a:prstGeom prst="roundRect">
          <a:avLst>
            <a:gd name="adj" fmla="val 1291"/>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587430</xdr:colOff>
      <xdr:row>5</xdr:row>
      <xdr:rowOff>167789</xdr:rowOff>
    </xdr:from>
    <xdr:to>
      <xdr:col>10</xdr:col>
      <xdr:colOff>401781</xdr:colOff>
      <xdr:row>8</xdr:row>
      <xdr:rowOff>37280</xdr:rowOff>
    </xdr:to>
    <xdr:pic>
      <xdr:nvPicPr>
        <xdr:cNvPr id="56" name="Graphic 55" descr="First aid kit">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4">
          <a:lum bright="70000" contrast="-70000"/>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859085" y="1068334"/>
          <a:ext cx="423951" cy="409819"/>
        </a:xfrm>
        <a:prstGeom prst="rect">
          <a:avLst/>
        </a:prstGeom>
      </xdr:spPr>
    </xdr:pic>
    <xdr:clientData/>
  </xdr:twoCellAnchor>
  <xdr:twoCellAnchor>
    <xdr:from>
      <xdr:col>9</xdr:col>
      <xdr:colOff>335280</xdr:colOff>
      <xdr:row>8</xdr:row>
      <xdr:rowOff>152399</xdr:rowOff>
    </xdr:from>
    <xdr:to>
      <xdr:col>10</xdr:col>
      <xdr:colOff>570808</xdr:colOff>
      <xdr:row>10</xdr:row>
      <xdr:rowOff>0</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5606935" y="1593272"/>
          <a:ext cx="845128" cy="207819"/>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ysClr val="windowText" lastClr="000000"/>
              </a:solidFill>
            </a:rPr>
            <a:t>Medical</a:t>
          </a:r>
        </a:p>
      </xdr:txBody>
    </xdr:sp>
    <xdr:clientData/>
  </xdr:twoCellAnchor>
  <xdr:twoCellAnchor>
    <xdr:from>
      <xdr:col>9</xdr:col>
      <xdr:colOff>356059</xdr:colOff>
      <xdr:row>10</xdr:row>
      <xdr:rowOff>76198</xdr:rowOff>
    </xdr:from>
    <xdr:to>
      <xdr:col>10</xdr:col>
      <xdr:colOff>591587</xdr:colOff>
      <xdr:row>11</xdr:row>
      <xdr:rowOff>103908</xdr:rowOff>
    </xdr:to>
    <xdr:sp macro="" textlink="Analysis!I74">
      <xdr:nvSpPr>
        <xdr:cNvPr id="72" name="TextBox 71">
          <a:extLst>
            <a:ext uri="{FF2B5EF4-FFF2-40B4-BE49-F238E27FC236}">
              <a16:creationId xmlns:a16="http://schemas.microsoft.com/office/drawing/2014/main" id="{00000000-0008-0000-0100-000048000000}"/>
            </a:ext>
          </a:extLst>
        </xdr:cNvPr>
        <xdr:cNvSpPr txBox="1"/>
      </xdr:nvSpPr>
      <xdr:spPr>
        <a:xfrm>
          <a:off x="5627714" y="1877289"/>
          <a:ext cx="845128" cy="207819"/>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DD75D1-2437-42FD-9D13-B86528ED6C66}" type="TxLink">
            <a:rPr lang="en-US" sz="1100" b="0" i="0" u="none" strike="noStrike">
              <a:solidFill>
                <a:schemeClr val="bg1"/>
              </a:solidFill>
              <a:latin typeface="Agency FB" panose="020B0503020202020204" pitchFamily="34" charset="0"/>
              <a:ea typeface="Calibri"/>
              <a:cs typeface="Calibri"/>
            </a:rPr>
            <a:pPr algn="ctr"/>
            <a:t>$225</a:t>
          </a:fld>
          <a:endParaRPr lang="en-US" sz="800">
            <a:solidFill>
              <a:schemeClr val="bg1"/>
            </a:solidFill>
            <a:latin typeface="Agency FB" panose="020B0503020202020204" pitchFamily="34" charset="0"/>
          </a:endParaRPr>
        </a:p>
      </xdr:txBody>
    </xdr:sp>
    <xdr:clientData/>
  </xdr:twoCellAnchor>
  <xdr:twoCellAnchor>
    <xdr:from>
      <xdr:col>11</xdr:col>
      <xdr:colOff>608215</xdr:colOff>
      <xdr:row>5</xdr:row>
      <xdr:rowOff>92134</xdr:rowOff>
    </xdr:from>
    <xdr:to>
      <xdr:col>13</xdr:col>
      <xdr:colOff>468007</xdr:colOff>
      <xdr:row>12</xdr:row>
      <xdr:rowOff>111530</xdr:rowOff>
    </xdr:to>
    <xdr:sp macro="" textlink="">
      <xdr:nvSpPr>
        <xdr:cNvPr id="52" name="Rectangle: Rounded Corners 51">
          <a:extLst>
            <a:ext uri="{FF2B5EF4-FFF2-40B4-BE49-F238E27FC236}">
              <a16:creationId xmlns:a16="http://schemas.microsoft.com/office/drawing/2014/main" id="{00000000-0008-0000-0100-000034000000}"/>
            </a:ext>
          </a:extLst>
        </xdr:cNvPr>
        <xdr:cNvSpPr/>
      </xdr:nvSpPr>
      <xdr:spPr>
        <a:xfrm>
          <a:off x="7099070" y="992679"/>
          <a:ext cx="1078992" cy="1280160"/>
        </a:xfrm>
        <a:prstGeom prst="roundRect">
          <a:avLst>
            <a:gd name="adj" fmla="val 1291"/>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325581</xdr:colOff>
      <xdr:row>5</xdr:row>
      <xdr:rowOff>161407</xdr:rowOff>
    </xdr:from>
    <xdr:to>
      <xdr:col>13</xdr:col>
      <xdr:colOff>146667</xdr:colOff>
      <xdr:row>8</xdr:row>
      <xdr:rowOff>37839</xdr:rowOff>
    </xdr:to>
    <xdr:pic>
      <xdr:nvPicPr>
        <xdr:cNvPr id="58" name="Graphic 57" descr="Shopping bag with solid fill">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6">
          <a:lum bright="70000" contrast="-70000"/>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426036" y="1061952"/>
          <a:ext cx="430686" cy="416760"/>
        </a:xfrm>
        <a:prstGeom prst="rect">
          <a:avLst/>
        </a:prstGeom>
      </xdr:spPr>
    </xdr:pic>
    <xdr:clientData/>
  </xdr:twoCellAnchor>
  <xdr:twoCellAnchor>
    <xdr:from>
      <xdr:col>12</xdr:col>
      <xdr:colOff>105294</xdr:colOff>
      <xdr:row>8</xdr:row>
      <xdr:rowOff>159326</xdr:rowOff>
    </xdr:from>
    <xdr:to>
      <xdr:col>13</xdr:col>
      <xdr:colOff>340822</xdr:colOff>
      <xdr:row>10</xdr:row>
      <xdr:rowOff>6927</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7205749" y="1600199"/>
          <a:ext cx="845128" cy="207819"/>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ysClr val="windowText" lastClr="000000"/>
              </a:solidFill>
            </a:rPr>
            <a:t>Discretionary</a:t>
          </a:r>
        </a:p>
      </xdr:txBody>
    </xdr:sp>
    <xdr:clientData/>
  </xdr:twoCellAnchor>
  <xdr:twoCellAnchor>
    <xdr:from>
      <xdr:col>12</xdr:col>
      <xdr:colOff>91436</xdr:colOff>
      <xdr:row>10</xdr:row>
      <xdr:rowOff>76198</xdr:rowOff>
    </xdr:from>
    <xdr:to>
      <xdr:col>13</xdr:col>
      <xdr:colOff>326964</xdr:colOff>
      <xdr:row>11</xdr:row>
      <xdr:rowOff>103908</xdr:rowOff>
    </xdr:to>
    <xdr:sp macro="" textlink="Analysis!I70">
      <xdr:nvSpPr>
        <xdr:cNvPr id="73" name="TextBox 72">
          <a:extLst>
            <a:ext uri="{FF2B5EF4-FFF2-40B4-BE49-F238E27FC236}">
              <a16:creationId xmlns:a16="http://schemas.microsoft.com/office/drawing/2014/main" id="{00000000-0008-0000-0100-000049000000}"/>
            </a:ext>
          </a:extLst>
        </xdr:cNvPr>
        <xdr:cNvSpPr txBox="1"/>
      </xdr:nvSpPr>
      <xdr:spPr>
        <a:xfrm>
          <a:off x="7191891" y="1877289"/>
          <a:ext cx="845128" cy="207819"/>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D02DCE-FABB-4598-A5BD-FB9042ABF8AA}" type="TxLink">
            <a:rPr lang="en-US" sz="1100" b="0" i="0" u="none" strike="noStrike">
              <a:solidFill>
                <a:schemeClr val="bg1"/>
              </a:solidFill>
              <a:latin typeface="Agency FB" panose="020B0503020202020204" pitchFamily="34" charset="0"/>
              <a:ea typeface="Calibri"/>
              <a:cs typeface="Calibri"/>
            </a:rPr>
            <a:pPr algn="ctr"/>
            <a:t>$7,028</a:t>
          </a:fld>
          <a:endParaRPr lang="en-US" sz="800">
            <a:solidFill>
              <a:schemeClr val="bg1"/>
            </a:solidFill>
            <a:latin typeface="Agency FB" panose="020B0503020202020204" pitchFamily="34" charset="0"/>
          </a:endParaRPr>
        </a:p>
      </xdr:txBody>
    </xdr:sp>
    <xdr:clientData/>
  </xdr:twoCellAnchor>
  <xdr:twoCellAnchor>
    <xdr:from>
      <xdr:col>14</xdr:col>
      <xdr:colOff>349135</xdr:colOff>
      <xdr:row>5</xdr:row>
      <xdr:rowOff>81049</xdr:rowOff>
    </xdr:from>
    <xdr:to>
      <xdr:col>16</xdr:col>
      <xdr:colOff>208927</xdr:colOff>
      <xdr:row>12</xdr:row>
      <xdr:rowOff>100445</xdr:rowOff>
    </xdr:to>
    <xdr:sp macro="" textlink="">
      <xdr:nvSpPr>
        <xdr:cNvPr id="54" name="Rectangle: Rounded Corners 53">
          <a:extLst>
            <a:ext uri="{FF2B5EF4-FFF2-40B4-BE49-F238E27FC236}">
              <a16:creationId xmlns:a16="http://schemas.microsoft.com/office/drawing/2014/main" id="{00000000-0008-0000-0100-000036000000}"/>
            </a:ext>
          </a:extLst>
        </xdr:cNvPr>
        <xdr:cNvSpPr/>
      </xdr:nvSpPr>
      <xdr:spPr>
        <a:xfrm>
          <a:off x="8668790" y="981594"/>
          <a:ext cx="1078992" cy="1280160"/>
        </a:xfrm>
        <a:prstGeom prst="roundRect">
          <a:avLst>
            <a:gd name="adj" fmla="val 1291"/>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31158</xdr:colOff>
      <xdr:row>6</xdr:row>
      <xdr:rowOff>48491</xdr:rowOff>
    </xdr:from>
    <xdr:to>
      <xdr:col>15</xdr:col>
      <xdr:colOff>536479</xdr:colOff>
      <xdr:row>8</xdr:row>
      <xdr:rowOff>30556</xdr:rowOff>
    </xdr:to>
    <xdr:pic>
      <xdr:nvPicPr>
        <xdr:cNvPr id="57" name="Graphic 56" descr="Car">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18">
          <a:lum bright="70000" contrast="-70000"/>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960413" y="1129146"/>
          <a:ext cx="505321" cy="342283"/>
        </a:xfrm>
        <a:prstGeom prst="rect">
          <a:avLst/>
        </a:prstGeom>
      </xdr:spPr>
    </xdr:pic>
    <xdr:clientData/>
  </xdr:twoCellAnchor>
  <xdr:twoCellAnchor>
    <xdr:from>
      <xdr:col>14</xdr:col>
      <xdr:colOff>477982</xdr:colOff>
      <xdr:row>8</xdr:row>
      <xdr:rowOff>152399</xdr:rowOff>
    </xdr:from>
    <xdr:to>
      <xdr:col>16</xdr:col>
      <xdr:colOff>103910</xdr:colOff>
      <xdr:row>10</xdr:row>
      <xdr:rowOff>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8797637" y="1593272"/>
          <a:ext cx="845128" cy="207819"/>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ysClr val="windowText" lastClr="000000"/>
              </a:solidFill>
            </a:rPr>
            <a:t>Transport</a:t>
          </a:r>
        </a:p>
      </xdr:txBody>
    </xdr:sp>
    <xdr:clientData/>
  </xdr:twoCellAnchor>
  <xdr:twoCellAnchor>
    <xdr:from>
      <xdr:col>14</xdr:col>
      <xdr:colOff>436415</xdr:colOff>
      <xdr:row>10</xdr:row>
      <xdr:rowOff>76198</xdr:rowOff>
    </xdr:from>
    <xdr:to>
      <xdr:col>16</xdr:col>
      <xdr:colOff>62343</xdr:colOff>
      <xdr:row>11</xdr:row>
      <xdr:rowOff>103908</xdr:rowOff>
    </xdr:to>
    <xdr:sp macro="" textlink="Analysis!I71">
      <xdr:nvSpPr>
        <xdr:cNvPr id="74" name="TextBox 73">
          <a:extLst>
            <a:ext uri="{FF2B5EF4-FFF2-40B4-BE49-F238E27FC236}">
              <a16:creationId xmlns:a16="http://schemas.microsoft.com/office/drawing/2014/main" id="{00000000-0008-0000-0100-00004A000000}"/>
            </a:ext>
          </a:extLst>
        </xdr:cNvPr>
        <xdr:cNvSpPr txBox="1"/>
      </xdr:nvSpPr>
      <xdr:spPr>
        <a:xfrm>
          <a:off x="8756070" y="1877289"/>
          <a:ext cx="845128" cy="207819"/>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9ED8EE-E56B-44B6-9109-A7F903908A99}" type="TxLink">
            <a:rPr lang="en-US" sz="1100" b="0" i="0" u="none" strike="noStrike">
              <a:solidFill>
                <a:schemeClr val="bg1"/>
              </a:solidFill>
              <a:latin typeface="Agency FB" panose="020B0503020202020204" pitchFamily="34" charset="0"/>
              <a:ea typeface="Calibri"/>
              <a:cs typeface="Calibri"/>
            </a:rPr>
            <a:pPr algn="ctr"/>
            <a:t>$3,515</a:t>
          </a:fld>
          <a:endParaRPr lang="en-US" sz="800">
            <a:solidFill>
              <a:schemeClr val="bg1"/>
            </a:solidFill>
            <a:latin typeface="Agency FB" panose="020B0503020202020204" pitchFamily="34" charset="0"/>
          </a:endParaRPr>
        </a:p>
      </xdr:txBody>
    </xdr:sp>
    <xdr:clientData/>
  </xdr:twoCellAnchor>
  <xdr:twoCellAnchor>
    <xdr:from>
      <xdr:col>16</xdr:col>
      <xdr:colOff>436415</xdr:colOff>
      <xdr:row>5</xdr:row>
      <xdr:rowOff>81049</xdr:rowOff>
    </xdr:from>
    <xdr:to>
      <xdr:col>20</xdr:col>
      <xdr:colOff>55415</xdr:colOff>
      <xdr:row>35</xdr:row>
      <xdr:rowOff>103909</xdr:rowOff>
    </xdr:to>
    <xdr:sp macro=""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9975270" y="981594"/>
          <a:ext cx="2057400" cy="5426133"/>
        </a:xfrm>
        <a:prstGeom prst="roundRect">
          <a:avLst>
            <a:gd name="adj" fmla="val 486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16</xdr:col>
          <xdr:colOff>502920</xdr:colOff>
          <xdr:row>25</xdr:row>
          <xdr:rowOff>15240</xdr:rowOff>
        </xdr:from>
        <xdr:to>
          <xdr:col>17</xdr:col>
          <xdr:colOff>571500</xdr:colOff>
          <xdr:row>26</xdr:row>
          <xdr:rowOff>38100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25</xdr:row>
          <xdr:rowOff>15240</xdr:rowOff>
        </xdr:from>
        <xdr:to>
          <xdr:col>19</xdr:col>
          <xdr:colOff>30480</xdr:colOff>
          <xdr:row>26</xdr:row>
          <xdr:rowOff>38100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Amount</a:t>
              </a:r>
            </a:p>
          </xdr:txBody>
        </xdr:sp>
        <xdr:clientData/>
      </xdr:twoCellAnchor>
    </mc:Choice>
    <mc:Fallback/>
  </mc:AlternateContent>
  <xdr:twoCellAnchor>
    <xdr:from>
      <xdr:col>16</xdr:col>
      <xdr:colOff>450272</xdr:colOff>
      <xdr:row>28</xdr:row>
      <xdr:rowOff>159327</xdr:rowOff>
    </xdr:from>
    <xdr:to>
      <xdr:col>20</xdr:col>
      <xdr:colOff>145472</xdr:colOff>
      <xdr:row>34</xdr:row>
      <xdr:rowOff>117764</xdr:rowOff>
    </xdr:to>
    <xdr:graphicFrame macro="">
      <xdr:nvGraphicFramePr>
        <xdr:cNvPr id="75" name="Chart 74">
          <a:extLst>
            <a:ext uri="{FF2B5EF4-FFF2-40B4-BE49-F238E27FC236}">
              <a16:creationId xmlns:a16="http://schemas.microsoft.com/office/drawing/2014/main" id="{00000000-0008-0000-01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16</xdr:col>
      <xdr:colOff>514692</xdr:colOff>
      <xdr:row>9</xdr:row>
      <xdr:rowOff>168333</xdr:rowOff>
    </xdr:from>
    <xdr:to>
      <xdr:col>20</xdr:col>
      <xdr:colOff>124689</xdr:colOff>
      <xdr:row>15</xdr:row>
      <xdr:rowOff>62346</xdr:rowOff>
    </xdr:to>
    <mc:AlternateContent xmlns:mc="http://schemas.openxmlformats.org/markup-compatibility/2006" xmlns:a14="http://schemas.microsoft.com/office/drawing/2010/main">
      <mc:Choice Requires="a14">
        <xdr:graphicFrame macro="">
          <xdr:nvGraphicFramePr>
            <xdr:cNvPr id="77" name="Month Number 1">
              <a:extLst>
                <a:ext uri="{FF2B5EF4-FFF2-40B4-BE49-F238E27FC236}">
                  <a16:creationId xmlns:a16="http://schemas.microsoft.com/office/drawing/2014/main" id="{00000000-0008-0000-0100-00004D000000}"/>
                </a:ext>
              </a:extLst>
            </xdr:cNvPr>
            <xdr:cNvGraphicFramePr/>
          </xdr:nvGraphicFramePr>
          <xdr:xfrm>
            <a:off x="0" y="0"/>
            <a:ext cx="0" cy="0"/>
          </xdr:xfrm>
          <a:graphic>
            <a:graphicData uri="http://schemas.microsoft.com/office/drawing/2010/slicer">
              <sle:slicer xmlns:sle="http://schemas.microsoft.com/office/drawing/2010/slicer" name="Month Number 1"/>
            </a:graphicData>
          </a:graphic>
        </xdr:graphicFrame>
      </mc:Choice>
      <mc:Fallback xmlns="">
        <xdr:sp macro="" textlink="">
          <xdr:nvSpPr>
            <xdr:cNvPr id="0" name=""/>
            <xdr:cNvSpPr>
              <a:spLocks noTextEdit="1"/>
            </xdr:cNvSpPr>
          </xdr:nvSpPr>
          <xdr:spPr>
            <a:xfrm>
              <a:off x="9712032" y="1547553"/>
              <a:ext cx="2048397" cy="9912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110835</xdr:colOff>
      <xdr:row>5</xdr:row>
      <xdr:rowOff>152400</xdr:rowOff>
    </xdr:from>
    <xdr:to>
      <xdr:col>3</xdr:col>
      <xdr:colOff>41563</xdr:colOff>
      <xdr:row>8</xdr:row>
      <xdr:rowOff>90053</xdr:rowOff>
    </xdr:to>
    <xdr:sp macro="" textlink="">
      <xdr:nvSpPr>
        <xdr:cNvPr id="97" name="Oval 96">
          <a:extLst>
            <a:ext uri="{FF2B5EF4-FFF2-40B4-BE49-F238E27FC236}">
              <a16:creationId xmlns:a16="http://schemas.microsoft.com/office/drawing/2014/main" id="{00000000-0008-0000-0100-000061000000}"/>
            </a:ext>
          </a:extLst>
        </xdr:cNvPr>
        <xdr:cNvSpPr/>
      </xdr:nvSpPr>
      <xdr:spPr>
        <a:xfrm>
          <a:off x="1115290" y="1052945"/>
          <a:ext cx="540328" cy="477981"/>
        </a:xfrm>
        <a:prstGeom prst="ellipse">
          <a:avLst/>
        </a:prstGeom>
        <a:no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266007</xdr:colOff>
      <xdr:row>5</xdr:row>
      <xdr:rowOff>152400</xdr:rowOff>
    </xdr:from>
    <xdr:to>
      <xdr:col>13</xdr:col>
      <xdr:colOff>196735</xdr:colOff>
      <xdr:row>8</xdr:row>
      <xdr:rowOff>90053</xdr:rowOff>
    </xdr:to>
    <xdr:sp macro="" textlink="">
      <xdr:nvSpPr>
        <xdr:cNvPr id="98" name="Oval 97">
          <a:extLst>
            <a:ext uri="{FF2B5EF4-FFF2-40B4-BE49-F238E27FC236}">
              <a16:creationId xmlns:a16="http://schemas.microsoft.com/office/drawing/2014/main" id="{00000000-0008-0000-0100-000062000000}"/>
            </a:ext>
          </a:extLst>
        </xdr:cNvPr>
        <xdr:cNvSpPr/>
      </xdr:nvSpPr>
      <xdr:spPr>
        <a:xfrm>
          <a:off x="7366462" y="1052945"/>
          <a:ext cx="540328" cy="477981"/>
        </a:xfrm>
        <a:prstGeom prst="ellipse">
          <a:avLst/>
        </a:prstGeom>
        <a:no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532014</xdr:colOff>
      <xdr:row>5</xdr:row>
      <xdr:rowOff>152400</xdr:rowOff>
    </xdr:from>
    <xdr:to>
      <xdr:col>10</xdr:col>
      <xdr:colOff>462742</xdr:colOff>
      <xdr:row>8</xdr:row>
      <xdr:rowOff>90053</xdr:rowOff>
    </xdr:to>
    <xdr:sp macro="" textlink="">
      <xdr:nvSpPr>
        <xdr:cNvPr id="99" name="Oval 98">
          <a:extLst>
            <a:ext uri="{FF2B5EF4-FFF2-40B4-BE49-F238E27FC236}">
              <a16:creationId xmlns:a16="http://schemas.microsoft.com/office/drawing/2014/main" id="{00000000-0008-0000-0100-000063000000}"/>
            </a:ext>
          </a:extLst>
        </xdr:cNvPr>
        <xdr:cNvSpPr/>
      </xdr:nvSpPr>
      <xdr:spPr>
        <a:xfrm>
          <a:off x="5803669" y="1052945"/>
          <a:ext cx="540328" cy="477981"/>
        </a:xfrm>
        <a:prstGeom prst="ellipse">
          <a:avLst/>
        </a:prstGeom>
        <a:no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188421</xdr:colOff>
      <xdr:row>5</xdr:row>
      <xdr:rowOff>152400</xdr:rowOff>
    </xdr:from>
    <xdr:to>
      <xdr:col>8</xdr:col>
      <xdr:colOff>119149</xdr:colOff>
      <xdr:row>8</xdr:row>
      <xdr:rowOff>90053</xdr:rowOff>
    </xdr:to>
    <xdr:sp macro="" textlink="">
      <xdr:nvSpPr>
        <xdr:cNvPr id="100" name="Oval 99">
          <a:extLst>
            <a:ext uri="{FF2B5EF4-FFF2-40B4-BE49-F238E27FC236}">
              <a16:creationId xmlns:a16="http://schemas.microsoft.com/office/drawing/2014/main" id="{00000000-0008-0000-0100-000064000000}"/>
            </a:ext>
          </a:extLst>
        </xdr:cNvPr>
        <xdr:cNvSpPr/>
      </xdr:nvSpPr>
      <xdr:spPr>
        <a:xfrm>
          <a:off x="4240876" y="1052945"/>
          <a:ext cx="540328" cy="477981"/>
        </a:xfrm>
        <a:prstGeom prst="ellipse">
          <a:avLst/>
        </a:prstGeom>
        <a:no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609598</xdr:colOff>
      <xdr:row>5</xdr:row>
      <xdr:rowOff>152400</xdr:rowOff>
    </xdr:from>
    <xdr:to>
      <xdr:col>15</xdr:col>
      <xdr:colOff>540326</xdr:colOff>
      <xdr:row>8</xdr:row>
      <xdr:rowOff>90053</xdr:rowOff>
    </xdr:to>
    <xdr:sp macro="" textlink="">
      <xdr:nvSpPr>
        <xdr:cNvPr id="101" name="Oval 100">
          <a:extLst>
            <a:ext uri="{FF2B5EF4-FFF2-40B4-BE49-F238E27FC236}">
              <a16:creationId xmlns:a16="http://schemas.microsoft.com/office/drawing/2014/main" id="{00000000-0008-0000-0100-000065000000}"/>
            </a:ext>
          </a:extLst>
        </xdr:cNvPr>
        <xdr:cNvSpPr/>
      </xdr:nvSpPr>
      <xdr:spPr>
        <a:xfrm>
          <a:off x="8929253" y="1052945"/>
          <a:ext cx="540328" cy="477981"/>
        </a:xfrm>
        <a:prstGeom prst="ellipse">
          <a:avLst/>
        </a:prstGeom>
        <a:no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454428</xdr:colOff>
      <xdr:row>5</xdr:row>
      <xdr:rowOff>152400</xdr:rowOff>
    </xdr:from>
    <xdr:to>
      <xdr:col>5</xdr:col>
      <xdr:colOff>385156</xdr:colOff>
      <xdr:row>8</xdr:row>
      <xdr:rowOff>90053</xdr:rowOff>
    </xdr:to>
    <xdr:sp macro="" textlink="">
      <xdr:nvSpPr>
        <xdr:cNvPr id="102" name="Oval 101">
          <a:extLst>
            <a:ext uri="{FF2B5EF4-FFF2-40B4-BE49-F238E27FC236}">
              <a16:creationId xmlns:a16="http://schemas.microsoft.com/office/drawing/2014/main" id="{00000000-0008-0000-0100-000066000000}"/>
            </a:ext>
          </a:extLst>
        </xdr:cNvPr>
        <xdr:cNvSpPr/>
      </xdr:nvSpPr>
      <xdr:spPr>
        <a:xfrm>
          <a:off x="2678083" y="1052945"/>
          <a:ext cx="540328" cy="477981"/>
        </a:xfrm>
        <a:prstGeom prst="ellipse">
          <a:avLst/>
        </a:prstGeom>
        <a:no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xdr:row>
      <xdr:rowOff>105987</xdr:rowOff>
    </xdr:from>
    <xdr:to>
      <xdr:col>14</xdr:col>
      <xdr:colOff>270163</xdr:colOff>
      <xdr:row>28</xdr:row>
      <xdr:rowOff>48491</xdr:rowOff>
    </xdr:to>
    <xdr:grpSp>
      <xdr:nvGrpSpPr>
        <xdr:cNvPr id="107" name="Group 106">
          <a:extLst>
            <a:ext uri="{FF2B5EF4-FFF2-40B4-BE49-F238E27FC236}">
              <a16:creationId xmlns:a16="http://schemas.microsoft.com/office/drawing/2014/main" id="{00000000-0008-0000-0100-00006B000000}"/>
            </a:ext>
          </a:extLst>
        </xdr:cNvPr>
        <xdr:cNvGrpSpPr/>
      </xdr:nvGrpSpPr>
      <xdr:grpSpPr>
        <a:xfrm>
          <a:off x="0" y="2216727"/>
          <a:ext cx="8248303" cy="2685704"/>
          <a:chOff x="0" y="2447405"/>
          <a:chExt cx="8589818" cy="2644141"/>
        </a:xfrm>
      </xdr:grpSpPr>
      <xdr:sp macro="" textlink="">
        <xdr:nvSpPr>
          <xdr:cNvPr id="27" name="Rectangle: Rounded Corners 26">
            <a:extLst>
              <a:ext uri="{FF2B5EF4-FFF2-40B4-BE49-F238E27FC236}">
                <a16:creationId xmlns:a16="http://schemas.microsoft.com/office/drawing/2014/main" id="{00000000-0008-0000-0100-00001B000000}"/>
              </a:ext>
            </a:extLst>
          </xdr:cNvPr>
          <xdr:cNvSpPr/>
        </xdr:nvSpPr>
        <xdr:spPr>
          <a:xfrm>
            <a:off x="813262" y="2447405"/>
            <a:ext cx="2752344" cy="2039112"/>
          </a:xfrm>
          <a:prstGeom prst="roundRect">
            <a:avLst>
              <a:gd name="adj" fmla="val 1291"/>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8" name="Chart 27">
            <a:extLst>
              <a:ext uri="{FF2B5EF4-FFF2-40B4-BE49-F238E27FC236}">
                <a16:creationId xmlns:a16="http://schemas.microsoft.com/office/drawing/2014/main" id="{00000000-0008-0000-0100-00001C000000}"/>
              </a:ext>
            </a:extLst>
          </xdr:cNvPr>
          <xdr:cNvGraphicFramePr>
            <a:graphicFrameLocks/>
          </xdr:cNvGraphicFramePr>
        </xdr:nvGraphicFramePr>
        <xdr:xfrm>
          <a:off x="0" y="2625436"/>
          <a:ext cx="4209011" cy="2133599"/>
        </xdr:xfrm>
        <a:graphic>
          <a:graphicData uri="http://schemas.openxmlformats.org/drawingml/2006/chart">
            <c:chart xmlns:c="http://schemas.openxmlformats.org/drawingml/2006/chart" xmlns:r="http://schemas.openxmlformats.org/officeDocument/2006/relationships" r:id="rId21"/>
          </a:graphicData>
        </a:graphic>
      </xdr:graphicFrame>
      <xdr:sp macro="" textlink="">
        <xdr:nvSpPr>
          <xdr:cNvPr id="31" name="Oval 30">
            <a:extLst>
              <a:ext uri="{FF2B5EF4-FFF2-40B4-BE49-F238E27FC236}">
                <a16:creationId xmlns:a16="http://schemas.microsoft.com/office/drawing/2014/main" id="{00000000-0008-0000-0100-00001F000000}"/>
              </a:ext>
            </a:extLst>
          </xdr:cNvPr>
          <xdr:cNvSpPr/>
        </xdr:nvSpPr>
        <xdr:spPr>
          <a:xfrm>
            <a:off x="2182093" y="4035138"/>
            <a:ext cx="173181" cy="173180"/>
          </a:xfrm>
          <a:prstGeom prst="ellipse">
            <a:avLst/>
          </a:prstGeom>
          <a:solidFill>
            <a:srgbClr val="FF58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a:extLst>
              <a:ext uri="{FF2B5EF4-FFF2-40B4-BE49-F238E27FC236}">
                <a16:creationId xmlns:a16="http://schemas.microsoft.com/office/drawing/2014/main" id="{00000000-0008-0000-0100-000020000000}"/>
              </a:ext>
            </a:extLst>
          </xdr:cNvPr>
          <xdr:cNvSpPr/>
        </xdr:nvSpPr>
        <xdr:spPr>
          <a:xfrm>
            <a:off x="2182093" y="2881747"/>
            <a:ext cx="173181" cy="173180"/>
          </a:xfrm>
          <a:prstGeom prst="ellipse">
            <a:avLst/>
          </a:prstGeom>
          <a:solidFill>
            <a:srgbClr val="5C38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100-000021000000}"/>
              </a:ext>
            </a:extLst>
          </xdr:cNvPr>
          <xdr:cNvSpPr/>
        </xdr:nvSpPr>
        <xdr:spPr>
          <a:xfrm>
            <a:off x="2175165" y="3458443"/>
            <a:ext cx="173181" cy="173180"/>
          </a:xfrm>
          <a:prstGeom prst="ellipse">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2473035" y="2854036"/>
            <a:ext cx="949036" cy="256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Amount</a:t>
            </a:r>
            <a:r>
              <a:rPr lang="en-US" sz="1100">
                <a:solidFill>
                  <a:schemeClr val="bg1"/>
                </a:solidFill>
              </a:rPr>
              <a:t> Left</a:t>
            </a:r>
          </a:p>
        </xdr:txBody>
      </xdr:sp>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2500745" y="3962401"/>
            <a:ext cx="949036" cy="256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Debit</a:t>
            </a:r>
          </a:p>
        </xdr:txBody>
      </xdr:sp>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2493817" y="3408219"/>
            <a:ext cx="949036" cy="256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Credit</a:t>
            </a:r>
          </a:p>
        </xdr:txBody>
      </xdr:sp>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824345" y="2479964"/>
            <a:ext cx="1627909"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Out-Flow &amp; In-Flow</a:t>
            </a:r>
          </a:p>
        </xdr:txBody>
      </xdr:sp>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6961909" y="2452255"/>
            <a:ext cx="1627909"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Weekly</a:t>
            </a:r>
            <a:r>
              <a:rPr lang="en-US" sz="1100" b="1" baseline="0">
                <a:solidFill>
                  <a:schemeClr val="bg1"/>
                </a:solidFill>
              </a:rPr>
              <a:t> Expenses View</a:t>
            </a:r>
            <a:endParaRPr lang="en-US" sz="1100" b="1">
              <a:solidFill>
                <a:schemeClr val="bg1"/>
              </a:solidFill>
            </a:endParaRPr>
          </a:p>
        </xdr:txBody>
      </xdr:sp>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831272" y="4675910"/>
            <a:ext cx="1627909"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Expenses</a:t>
            </a:r>
            <a:r>
              <a:rPr lang="en-US" sz="1100" b="1" baseline="0">
                <a:solidFill>
                  <a:schemeClr val="bg1"/>
                </a:solidFill>
              </a:rPr>
              <a:t> By Categories</a:t>
            </a:r>
          </a:p>
          <a:p>
            <a:endParaRPr lang="en-US" sz="1100" b="1">
              <a:solidFill>
                <a:schemeClr val="bg1"/>
              </a:solidFill>
            </a:endParaRPr>
          </a:p>
        </xdr:txBody>
      </xdr:sp>
    </xdr:grpSp>
    <xdr:clientData/>
  </xdr:twoCellAnchor>
  <xdr:twoCellAnchor>
    <xdr:from>
      <xdr:col>6</xdr:col>
      <xdr:colOff>473822</xdr:colOff>
      <xdr:row>13</xdr:row>
      <xdr:rowOff>92133</xdr:rowOff>
    </xdr:from>
    <xdr:to>
      <xdr:col>11</xdr:col>
      <xdr:colOff>178166</xdr:colOff>
      <xdr:row>24</xdr:row>
      <xdr:rowOff>150045</xdr:rowOff>
    </xdr:to>
    <xdr:grpSp>
      <xdr:nvGrpSpPr>
        <xdr:cNvPr id="108" name="Group 107">
          <a:extLst>
            <a:ext uri="{FF2B5EF4-FFF2-40B4-BE49-F238E27FC236}">
              <a16:creationId xmlns:a16="http://schemas.microsoft.com/office/drawing/2014/main" id="{00000000-0008-0000-0100-00006C000000}"/>
            </a:ext>
          </a:extLst>
        </xdr:cNvPr>
        <xdr:cNvGrpSpPr/>
      </xdr:nvGrpSpPr>
      <xdr:grpSpPr>
        <a:xfrm>
          <a:off x="3575162" y="2202873"/>
          <a:ext cx="2752344" cy="2069592"/>
          <a:chOff x="3916677" y="2433551"/>
          <a:chExt cx="2752344" cy="2039112"/>
        </a:xfrm>
      </xdr:grpSpPr>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3916677" y="2433551"/>
            <a:ext cx="2752344" cy="2039112"/>
          </a:xfrm>
          <a:prstGeom prst="roundRect">
            <a:avLst>
              <a:gd name="adj" fmla="val 1291"/>
            </a:avLst>
          </a:prstGeom>
          <a:solidFill>
            <a:schemeClr val="tx1">
              <a:lumMod val="85000"/>
              <a:lumOff val="15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4087090" y="2535381"/>
          <a:ext cx="2306782" cy="1752600"/>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4142510" y="3872346"/>
            <a:ext cx="630381" cy="214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YouTube</a:t>
            </a:r>
          </a:p>
        </xdr:txBody>
      </xdr:sp>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5001491" y="3886200"/>
            <a:ext cx="457200" cy="200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DWD</a:t>
            </a:r>
          </a:p>
        </xdr:txBody>
      </xdr:sp>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5687292" y="3837709"/>
            <a:ext cx="824345" cy="249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Teachable</a:t>
            </a:r>
          </a:p>
        </xdr:txBody>
      </xdr:sp>
      <xdr:sp macro="" textlink="Analysis!I43">
        <xdr:nvSpPr>
          <xdr:cNvPr id="43" name="TextBox 42">
            <a:extLst>
              <a:ext uri="{FF2B5EF4-FFF2-40B4-BE49-F238E27FC236}">
                <a16:creationId xmlns:a16="http://schemas.microsoft.com/office/drawing/2014/main" id="{00000000-0008-0000-0100-00002B000000}"/>
              </a:ext>
            </a:extLst>
          </xdr:cNvPr>
          <xdr:cNvSpPr txBox="1"/>
        </xdr:nvSpPr>
        <xdr:spPr>
          <a:xfrm>
            <a:off x="4135583" y="4204856"/>
            <a:ext cx="630381" cy="214745"/>
          </a:xfrm>
          <a:prstGeom prst="rect">
            <a:avLst/>
          </a:prstGeom>
          <a:solidFill>
            <a:srgbClr val="FFD05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785F38-0CBD-444A-B7B4-521D6D51DBD2}" type="TxLink">
              <a:rPr lang="en-US" sz="1100" b="0" i="0" u="none" strike="noStrike">
                <a:solidFill>
                  <a:srgbClr val="000000"/>
                </a:solidFill>
                <a:latin typeface="Calibri"/>
                <a:ea typeface="Calibri"/>
                <a:cs typeface="Calibri"/>
              </a:rPr>
              <a:pPr algn="ctr"/>
              <a:t>$10,940</a:t>
            </a:fld>
            <a:endParaRPr lang="en-US" sz="900"/>
          </a:p>
        </xdr:txBody>
      </xdr:sp>
      <xdr:sp macro="" textlink="Analysis!I41">
        <xdr:nvSpPr>
          <xdr:cNvPr id="44" name="TextBox 43">
            <a:extLst>
              <a:ext uri="{FF2B5EF4-FFF2-40B4-BE49-F238E27FC236}">
                <a16:creationId xmlns:a16="http://schemas.microsoft.com/office/drawing/2014/main" id="{00000000-0008-0000-0100-00002C000000}"/>
              </a:ext>
            </a:extLst>
          </xdr:cNvPr>
          <xdr:cNvSpPr txBox="1"/>
        </xdr:nvSpPr>
        <xdr:spPr>
          <a:xfrm>
            <a:off x="4991101" y="4204856"/>
            <a:ext cx="630381" cy="214745"/>
          </a:xfrm>
          <a:prstGeom prst="rect">
            <a:avLst/>
          </a:prstGeom>
          <a:solidFill>
            <a:schemeClr val="bg1">
              <a:lumMod val="6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490289-B652-4866-84C6-6A43D38DD5DF}" type="TxLink">
              <a:rPr lang="en-US" sz="1100" b="0" i="0" u="none" strike="noStrike">
                <a:solidFill>
                  <a:srgbClr val="000000"/>
                </a:solidFill>
                <a:latin typeface="Calibri"/>
                <a:ea typeface="Calibri"/>
                <a:cs typeface="Calibri"/>
              </a:rPr>
              <a:pPr algn="ctr"/>
              <a:t>$50,000</a:t>
            </a:fld>
            <a:endParaRPr lang="en-US" sz="900"/>
          </a:p>
        </xdr:txBody>
      </xdr:sp>
      <xdr:sp macro="" textlink="Analysis!I42">
        <xdr:nvSpPr>
          <xdr:cNvPr id="45" name="TextBox 44">
            <a:extLst>
              <a:ext uri="{FF2B5EF4-FFF2-40B4-BE49-F238E27FC236}">
                <a16:creationId xmlns:a16="http://schemas.microsoft.com/office/drawing/2014/main" id="{00000000-0008-0000-0100-00002D000000}"/>
              </a:ext>
            </a:extLst>
          </xdr:cNvPr>
          <xdr:cNvSpPr txBox="1"/>
        </xdr:nvSpPr>
        <xdr:spPr>
          <a:xfrm>
            <a:off x="5846619" y="4204856"/>
            <a:ext cx="630381" cy="214745"/>
          </a:xfrm>
          <a:prstGeom prst="rect">
            <a:avLst/>
          </a:prstGeom>
          <a:solidFill>
            <a:srgbClr val="FF585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63365E-BE9D-4919-8ADB-467F45E06855}" type="TxLink">
              <a:rPr lang="en-US" sz="1100" b="0" i="0" u="none" strike="noStrike">
                <a:solidFill>
                  <a:srgbClr val="000000"/>
                </a:solidFill>
                <a:latin typeface="Calibri"/>
                <a:ea typeface="Calibri"/>
                <a:cs typeface="Calibri"/>
              </a:rPr>
              <a:pPr algn="ctr"/>
              <a:t>$4,500</a:t>
            </a:fld>
            <a:endParaRPr lang="en-US" sz="900"/>
          </a:p>
        </xdr:txBody>
      </xdr:sp>
      <xdr:sp macro="" textlink="Analysis!I44">
        <xdr:nvSpPr>
          <xdr:cNvPr id="46" name="TextBox 45">
            <a:extLst>
              <a:ext uri="{FF2B5EF4-FFF2-40B4-BE49-F238E27FC236}">
                <a16:creationId xmlns:a16="http://schemas.microsoft.com/office/drawing/2014/main" id="{00000000-0008-0000-0100-00002E000000}"/>
              </a:ext>
            </a:extLst>
          </xdr:cNvPr>
          <xdr:cNvSpPr txBox="1"/>
        </xdr:nvSpPr>
        <xdr:spPr>
          <a:xfrm>
            <a:off x="4918364" y="3068783"/>
            <a:ext cx="665018" cy="193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0BB21B-AAA9-40D7-8411-F7E33B1D6CCA}" type="TxLink">
              <a:rPr lang="en-US" sz="1100" b="1" i="0" u="none" strike="noStrike">
                <a:solidFill>
                  <a:schemeClr val="bg1"/>
                </a:solidFill>
                <a:latin typeface="Calibri"/>
                <a:ea typeface="Calibri"/>
                <a:cs typeface="Calibri"/>
              </a:rPr>
              <a:pPr/>
              <a:t>$65,440</a:t>
            </a:fld>
            <a:endParaRPr lang="en-US" sz="1100" b="0" i="0" u="none" strike="noStrike">
              <a:solidFill>
                <a:schemeClr val="bg1"/>
              </a:solidFill>
              <a:latin typeface="Calibri"/>
              <a:ea typeface="Calibri"/>
              <a:cs typeface="Calibri"/>
            </a:endParaRPr>
          </a:p>
        </xdr:txBody>
      </xdr:sp>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3955472" y="2452255"/>
            <a:ext cx="1627909"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Income</a:t>
            </a:r>
            <a:r>
              <a:rPr lang="en-US" sz="1100" b="1" baseline="0">
                <a:solidFill>
                  <a:schemeClr val="bg1"/>
                </a:solidFill>
              </a:rPr>
              <a:t> Analysis</a:t>
            </a:r>
            <a:endParaRPr lang="en-US" sz="1100" b="1">
              <a:solidFill>
                <a:schemeClr val="bg1"/>
              </a:solidFill>
            </a:endParaRPr>
          </a:p>
        </xdr:txBody>
      </xdr:sp>
    </xdr:grpSp>
    <xdr:clientData/>
  </xdr:twoCellAnchor>
  <xdr:twoCellAnchor>
    <xdr:from>
      <xdr:col>1</xdr:col>
      <xdr:colOff>249256</xdr:colOff>
      <xdr:row>25</xdr:row>
      <xdr:rowOff>76200</xdr:rowOff>
    </xdr:from>
    <xdr:to>
      <xdr:col>13</xdr:col>
      <xdr:colOff>394036</xdr:colOff>
      <xdr:row>35</xdr:row>
      <xdr:rowOff>103909</xdr:rowOff>
    </xdr:to>
    <mc:AlternateContent xmlns:mc="http://schemas.openxmlformats.org/markup-compatibility/2006">
      <mc:Choice xmlns:cx4="http://schemas.microsoft.com/office/drawing/2016/5/10/chartex" Requires="cx4">
        <xdr:graphicFrame macro="">
          <xdr:nvGraphicFramePr>
            <xdr:cNvPr id="111" name="Chart 110">
              <a:extLst>
                <a:ext uri="{FF2B5EF4-FFF2-40B4-BE49-F238E27FC236}">
                  <a16:creationId xmlns:a16="http://schemas.microsoft.com/office/drawing/2014/main" id="{00000000-0008-0000-0100-00006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302596" y="4381500"/>
              <a:ext cx="7459980" cy="185650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464128</xdr:colOff>
      <xdr:row>26</xdr:row>
      <xdr:rowOff>27709</xdr:rowOff>
    </xdr:from>
    <xdr:to>
      <xdr:col>13</xdr:col>
      <xdr:colOff>318654</xdr:colOff>
      <xdr:row>35</xdr:row>
      <xdr:rowOff>41564</xdr:rowOff>
    </xdr:to>
    <mc:AlternateContent xmlns:mc="http://schemas.openxmlformats.org/markup-compatibility/2006">
      <mc:Choice xmlns:cx4="http://schemas.microsoft.com/office/drawing/2016/5/10/chartex" Requires="cx4">
        <xdr:graphicFrame macro="">
          <xdr:nvGraphicFramePr>
            <xdr:cNvPr id="115" name="Chart 114">
              <a:extLst>
                <a:ext uri="{FF2B5EF4-FFF2-40B4-BE49-F238E27FC236}">
                  <a16:creationId xmlns:a16="http://schemas.microsoft.com/office/drawing/2014/main" id="{00000000-0008-0000-0100-00007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4"/>
            </a:graphicData>
          </a:graphic>
        </xdr:graphicFrame>
      </mc:Choice>
      <mc:Fallback>
        <xdr:sp macro="" textlink="">
          <xdr:nvSpPr>
            <xdr:cNvPr id="0" name=""/>
            <xdr:cNvSpPr>
              <a:spLocks noTextEdit="1"/>
            </xdr:cNvSpPr>
          </xdr:nvSpPr>
          <xdr:spPr>
            <a:xfrm>
              <a:off x="517468" y="4515889"/>
              <a:ext cx="7169726" cy="16597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166522</xdr:colOff>
      <xdr:row>5</xdr:row>
      <xdr:rowOff>171104</xdr:rowOff>
    </xdr:from>
    <xdr:to>
      <xdr:col>18</xdr:col>
      <xdr:colOff>349403</xdr:colOff>
      <xdr:row>7</xdr:row>
      <xdr:rowOff>60440</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10314977" y="1071649"/>
          <a:ext cx="792481"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85000"/>
                </a:schemeClr>
              </a:solidFill>
              <a:latin typeface="Arial" panose="020B0604020202020204" pitchFamily="34" charset="0"/>
              <a:cs typeface="Arial" panose="020B0604020202020204" pitchFamily="34" charset="0"/>
            </a:rPr>
            <a:t>Filters</a:t>
          </a:r>
        </a:p>
      </xdr:txBody>
    </xdr:sp>
    <xdr:clientData/>
  </xdr:twoCellAnchor>
  <xdr:twoCellAnchor editAs="oneCell">
    <xdr:from>
      <xdr:col>16</xdr:col>
      <xdr:colOff>547252</xdr:colOff>
      <xdr:row>6</xdr:row>
      <xdr:rowOff>7767</xdr:rowOff>
    </xdr:from>
    <xdr:to>
      <xdr:col>17</xdr:col>
      <xdr:colOff>173452</xdr:colOff>
      <xdr:row>7</xdr:row>
      <xdr:rowOff>55838</xdr:rowOff>
    </xdr:to>
    <xdr:pic>
      <xdr:nvPicPr>
        <xdr:cNvPr id="76" name="Graphic 75" descr="Filter">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0086107" y="1088422"/>
          <a:ext cx="235800" cy="228180"/>
        </a:xfrm>
        <a:prstGeom prst="rect">
          <a:avLst/>
        </a:prstGeom>
      </xdr:spPr>
    </xdr:pic>
    <xdr:clientData/>
  </xdr:twoCellAnchor>
  <xdr:twoCellAnchor editAs="oneCell">
    <xdr:from>
      <xdr:col>16</xdr:col>
      <xdr:colOff>540325</xdr:colOff>
      <xdr:row>17</xdr:row>
      <xdr:rowOff>103909</xdr:rowOff>
    </xdr:from>
    <xdr:to>
      <xdr:col>20</xdr:col>
      <xdr:colOff>173181</xdr:colOff>
      <xdr:row>22</xdr:row>
      <xdr:rowOff>159327</xdr:rowOff>
    </xdr:to>
    <mc:AlternateContent xmlns:mc="http://schemas.openxmlformats.org/markup-compatibility/2006" xmlns:a14="http://schemas.microsoft.com/office/drawing/2010/main">
      <mc:Choice Requires="a14">
        <xdr:graphicFrame macro="">
          <xdr:nvGraphicFramePr>
            <xdr:cNvPr id="80" name="Category 1">
              <a:extLst>
                <a:ext uri="{FF2B5EF4-FFF2-40B4-BE49-F238E27FC236}">
                  <a16:creationId xmlns:a16="http://schemas.microsoft.com/office/drawing/2014/main" id="{00000000-0008-0000-0100-000050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737665" y="2946169"/>
              <a:ext cx="2071256" cy="9698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286790</xdr:colOff>
      <xdr:row>5</xdr:row>
      <xdr:rowOff>67887</xdr:rowOff>
    </xdr:from>
    <xdr:to>
      <xdr:col>20</xdr:col>
      <xdr:colOff>87710</xdr:colOff>
      <xdr:row>7</xdr:row>
      <xdr:rowOff>103910</xdr:rowOff>
    </xdr:to>
    <xdr:pic macro="[0]!remove_slicer_filter">
      <xdr:nvPicPr>
        <xdr:cNvPr id="82" name="Graphic 81" descr="Garbage">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1654445" y="968432"/>
          <a:ext cx="410520" cy="396241"/>
        </a:xfrm>
        <a:prstGeom prst="rect">
          <a:avLst/>
        </a:prstGeom>
      </xdr:spPr>
    </xdr:pic>
    <xdr:clientData/>
  </xdr:twoCellAnchor>
  <xdr:twoCellAnchor>
    <xdr:from>
      <xdr:col>16</xdr:col>
      <xdr:colOff>505689</xdr:colOff>
      <xdr:row>5</xdr:row>
      <xdr:rowOff>122613</xdr:rowOff>
    </xdr:from>
    <xdr:to>
      <xdr:col>17</xdr:col>
      <xdr:colOff>207819</xdr:colOff>
      <xdr:row>7</xdr:row>
      <xdr:rowOff>90054</xdr:rowOff>
    </xdr:to>
    <xdr:sp macro="" textlink="">
      <xdr:nvSpPr>
        <xdr:cNvPr id="83" name="Oval 82">
          <a:extLst>
            <a:ext uri="{FF2B5EF4-FFF2-40B4-BE49-F238E27FC236}">
              <a16:creationId xmlns:a16="http://schemas.microsoft.com/office/drawing/2014/main" id="{00000000-0008-0000-0100-000053000000}"/>
            </a:ext>
          </a:extLst>
        </xdr:cNvPr>
        <xdr:cNvSpPr/>
      </xdr:nvSpPr>
      <xdr:spPr>
        <a:xfrm>
          <a:off x="10044544" y="1023158"/>
          <a:ext cx="311730" cy="327660"/>
        </a:xfrm>
        <a:prstGeom prst="ellipse">
          <a:avLst/>
        </a:prstGeom>
        <a:no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443345</xdr:colOff>
      <xdr:row>8</xdr:row>
      <xdr:rowOff>27709</xdr:rowOff>
    </xdr:from>
    <xdr:to>
      <xdr:col>19</xdr:col>
      <xdr:colOff>284018</xdr:colOff>
      <xdr:row>9</xdr:row>
      <xdr:rowOff>76199</xdr:rowOff>
    </xdr:to>
    <xdr:sp macro="" textlink="Analysis!M110">
      <xdr:nvSpPr>
        <xdr:cNvPr id="87" name="TextBox 86">
          <a:extLst>
            <a:ext uri="{FF2B5EF4-FFF2-40B4-BE49-F238E27FC236}">
              <a16:creationId xmlns:a16="http://schemas.microsoft.com/office/drawing/2014/main" id="{00000000-0008-0000-0100-000057000000}"/>
            </a:ext>
          </a:extLst>
        </xdr:cNvPr>
        <xdr:cNvSpPr txBox="1"/>
      </xdr:nvSpPr>
      <xdr:spPr>
        <a:xfrm>
          <a:off x="9982200" y="1468582"/>
          <a:ext cx="1669473"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A9DA481-350C-4FC2-BFED-45AAE1C2ADC8}" type="TxLink">
            <a:rPr lang="en-US" sz="1100" b="1" i="0" u="none" strike="noStrike">
              <a:solidFill>
                <a:schemeClr val="bg1"/>
              </a:solidFill>
              <a:latin typeface="Calibri"/>
              <a:ea typeface="Calibri"/>
              <a:cs typeface="Calibri"/>
            </a:rPr>
            <a:pPr/>
            <a:t>Multiple months selected</a:t>
          </a:fld>
          <a:endParaRPr lang="en-US" sz="1100" b="1">
            <a:solidFill>
              <a:schemeClr val="bg1"/>
            </a:solidFill>
          </a:endParaRPr>
        </a:p>
      </xdr:txBody>
    </xdr:sp>
    <xdr:clientData/>
  </xdr:twoCellAnchor>
  <xdr:twoCellAnchor editAs="oneCell">
    <xdr:from>
      <xdr:col>19</xdr:col>
      <xdr:colOff>311724</xdr:colOff>
      <xdr:row>8</xdr:row>
      <xdr:rowOff>32558</xdr:rowOff>
    </xdr:from>
    <xdr:to>
      <xdr:col>20</xdr:col>
      <xdr:colOff>73599</xdr:colOff>
      <xdr:row>9</xdr:row>
      <xdr:rowOff>130580</xdr:rowOff>
    </xdr:to>
    <xdr:pic>
      <xdr:nvPicPr>
        <xdr:cNvPr id="88" name="Graphic 87" descr="Ethernet">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1679379" y="1473431"/>
          <a:ext cx="371475" cy="278131"/>
        </a:xfrm>
        <a:prstGeom prst="rect">
          <a:avLst/>
        </a:prstGeom>
      </xdr:spPr>
    </xdr:pic>
    <xdr:clientData/>
  </xdr:twoCellAnchor>
  <xdr:twoCellAnchor>
    <xdr:from>
      <xdr:col>16</xdr:col>
      <xdr:colOff>498763</xdr:colOff>
      <xdr:row>15</xdr:row>
      <xdr:rowOff>110836</xdr:rowOff>
    </xdr:from>
    <xdr:to>
      <xdr:col>19</xdr:col>
      <xdr:colOff>339436</xdr:colOff>
      <xdr:row>16</xdr:row>
      <xdr:rowOff>159326</xdr:rowOff>
    </xdr:to>
    <xdr:sp macro="" textlink="Analysis!M110">
      <xdr:nvSpPr>
        <xdr:cNvPr id="89" name="TextBox 88">
          <a:extLst>
            <a:ext uri="{FF2B5EF4-FFF2-40B4-BE49-F238E27FC236}">
              <a16:creationId xmlns:a16="http://schemas.microsoft.com/office/drawing/2014/main" id="{00000000-0008-0000-0100-000059000000}"/>
            </a:ext>
          </a:extLst>
        </xdr:cNvPr>
        <xdr:cNvSpPr txBox="1"/>
      </xdr:nvSpPr>
      <xdr:spPr>
        <a:xfrm>
          <a:off x="10037618" y="2812472"/>
          <a:ext cx="1669473"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Category</a:t>
          </a:r>
          <a:r>
            <a:rPr lang="en-US" sz="1100" b="1" baseline="0">
              <a:solidFill>
                <a:schemeClr val="bg1"/>
              </a:solidFill>
            </a:rPr>
            <a:t> Filter</a:t>
          </a:r>
          <a:endParaRPr lang="en-US" sz="1100" b="1">
            <a:solidFill>
              <a:schemeClr val="bg1"/>
            </a:solidFill>
          </a:endParaRPr>
        </a:p>
      </xdr:txBody>
    </xdr:sp>
    <xdr:clientData/>
  </xdr:twoCellAnchor>
  <xdr:twoCellAnchor>
    <xdr:from>
      <xdr:col>16</xdr:col>
      <xdr:colOff>6925</xdr:colOff>
      <xdr:row>2</xdr:row>
      <xdr:rowOff>124691</xdr:rowOff>
    </xdr:from>
    <xdr:to>
      <xdr:col>16</xdr:col>
      <xdr:colOff>387926</xdr:colOff>
      <xdr:row>4</xdr:row>
      <xdr:rowOff>35674</xdr:rowOff>
    </xdr:to>
    <xdr:grpSp>
      <xdr:nvGrpSpPr>
        <xdr:cNvPr id="90" name="Group 89">
          <a:extLst>
            <a:ext uri="{FF2B5EF4-FFF2-40B4-BE49-F238E27FC236}">
              <a16:creationId xmlns:a16="http://schemas.microsoft.com/office/drawing/2014/main" id="{00000000-0008-0000-0100-00005A000000}"/>
            </a:ext>
          </a:extLst>
        </xdr:cNvPr>
        <xdr:cNvGrpSpPr/>
      </xdr:nvGrpSpPr>
      <xdr:grpSpPr>
        <a:xfrm>
          <a:off x="9204265" y="223751"/>
          <a:ext cx="381001" cy="276743"/>
          <a:chOff x="10906125" y="238125"/>
          <a:chExt cx="228600" cy="171450"/>
        </a:xfrm>
      </xdr:grpSpPr>
      <xdr:cxnSp macro="">
        <xdr:nvCxnSpPr>
          <xdr:cNvPr id="91" name="Straight Connector 90">
            <a:extLst>
              <a:ext uri="{FF2B5EF4-FFF2-40B4-BE49-F238E27FC236}">
                <a16:creationId xmlns:a16="http://schemas.microsoft.com/office/drawing/2014/main" id="{00000000-0008-0000-0100-00005B000000}"/>
              </a:ext>
            </a:extLst>
          </xdr:cNvPr>
          <xdr:cNvCxnSpPr/>
        </xdr:nvCxnSpPr>
        <xdr:spPr>
          <a:xfrm>
            <a:off x="109061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100-00005C000000}"/>
              </a:ext>
            </a:extLst>
          </xdr:cNvPr>
          <xdr:cNvCxnSpPr/>
        </xdr:nvCxnSpPr>
        <xdr:spPr>
          <a:xfrm>
            <a:off x="111347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16</xdr:col>
      <xdr:colOff>48492</xdr:colOff>
      <xdr:row>2</xdr:row>
      <xdr:rowOff>76200</xdr:rowOff>
    </xdr:from>
    <xdr:to>
      <xdr:col>16</xdr:col>
      <xdr:colOff>353292</xdr:colOff>
      <xdr:row>4</xdr:row>
      <xdr:rowOff>20782</xdr:rowOff>
    </xdr:to>
    <xdr:pic>
      <xdr:nvPicPr>
        <xdr:cNvPr id="94" name="Graphic 93" descr="Flip calendar outline">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31"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9587347" y="436418"/>
          <a:ext cx="304800" cy="304800"/>
        </a:xfrm>
        <a:prstGeom prst="rect">
          <a:avLst/>
        </a:prstGeom>
      </xdr:spPr>
    </xdr:pic>
    <xdr:clientData/>
  </xdr:twoCellAnchor>
  <xdr:twoCellAnchor editAs="oneCell">
    <xdr:from>
      <xdr:col>12</xdr:col>
      <xdr:colOff>163854</xdr:colOff>
      <xdr:row>2</xdr:row>
      <xdr:rowOff>73799</xdr:rowOff>
    </xdr:from>
    <xdr:to>
      <xdr:col>12</xdr:col>
      <xdr:colOff>491836</xdr:colOff>
      <xdr:row>4</xdr:row>
      <xdr:rowOff>41563</xdr:rowOff>
    </xdr:to>
    <xdr:pic>
      <xdr:nvPicPr>
        <xdr:cNvPr id="96" name="Graphic 95" descr="Daily calendar outline">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33"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7264309" y="434017"/>
          <a:ext cx="327982" cy="327982"/>
        </a:xfrm>
        <a:prstGeom prst="rect">
          <a:avLst/>
        </a:prstGeom>
      </xdr:spPr>
    </xdr:pic>
    <xdr:clientData/>
  </xdr:twoCellAnchor>
  <xdr:twoCellAnchor>
    <xdr:from>
      <xdr:col>14</xdr:col>
      <xdr:colOff>477981</xdr:colOff>
      <xdr:row>2</xdr:row>
      <xdr:rowOff>110837</xdr:rowOff>
    </xdr:from>
    <xdr:to>
      <xdr:col>16</xdr:col>
      <xdr:colOff>27709</xdr:colOff>
      <xdr:row>3</xdr:row>
      <xdr:rowOff>173182</xdr:rowOff>
    </xdr:to>
    <xdr:sp macro="" textlink="Analysis!E4">
      <xdr:nvSpPr>
        <xdr:cNvPr id="104" name="TextBox 103">
          <a:extLst>
            <a:ext uri="{FF2B5EF4-FFF2-40B4-BE49-F238E27FC236}">
              <a16:creationId xmlns:a16="http://schemas.microsoft.com/office/drawing/2014/main" id="{00000000-0008-0000-0100-000068000000}"/>
            </a:ext>
          </a:extLst>
        </xdr:cNvPr>
        <xdr:cNvSpPr txBox="1"/>
      </xdr:nvSpPr>
      <xdr:spPr>
        <a:xfrm>
          <a:off x="8797636" y="471055"/>
          <a:ext cx="768928" cy="242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CD79C21-60E7-4F07-9336-F2BAD43AB5D5}" type="TxLink">
            <a:rPr lang="en-US" sz="1100" b="0" i="0" u="none" strike="noStrike">
              <a:solidFill>
                <a:schemeClr val="bg1"/>
              </a:solidFill>
              <a:latin typeface="Calibri"/>
              <a:ea typeface="Calibri"/>
              <a:cs typeface="Calibri"/>
            </a:rPr>
            <a:pPr/>
            <a:t>1/4/21</a:t>
          </a:fld>
          <a:endParaRPr lang="en-US" sz="1100">
            <a:solidFill>
              <a:schemeClr val="bg1"/>
            </a:solidFill>
          </a:endParaRPr>
        </a:p>
      </xdr:txBody>
    </xdr:sp>
    <xdr:clientData/>
  </xdr:twoCellAnchor>
  <xdr:twoCellAnchor>
    <xdr:from>
      <xdr:col>18</xdr:col>
      <xdr:colOff>339435</xdr:colOff>
      <xdr:row>2</xdr:row>
      <xdr:rowOff>103909</xdr:rowOff>
    </xdr:from>
    <xdr:to>
      <xdr:col>19</xdr:col>
      <xdr:colOff>464126</xdr:colOff>
      <xdr:row>3</xdr:row>
      <xdr:rowOff>152400</xdr:rowOff>
    </xdr:to>
    <xdr:sp macro="" textlink="Analysis!E5">
      <xdr:nvSpPr>
        <xdr:cNvPr id="110" name="TextBox 109">
          <a:extLst>
            <a:ext uri="{FF2B5EF4-FFF2-40B4-BE49-F238E27FC236}">
              <a16:creationId xmlns:a16="http://schemas.microsoft.com/office/drawing/2014/main" id="{00000000-0008-0000-0100-00006E000000}"/>
            </a:ext>
          </a:extLst>
        </xdr:cNvPr>
        <xdr:cNvSpPr txBox="1"/>
      </xdr:nvSpPr>
      <xdr:spPr>
        <a:xfrm>
          <a:off x="11097490" y="464127"/>
          <a:ext cx="73429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EEC801-491C-4134-9C64-6EADF8422AAB}" type="TxLink">
            <a:rPr lang="en-US" sz="1100" b="0" i="0" u="none" strike="noStrike">
              <a:solidFill>
                <a:schemeClr val="bg1"/>
              </a:solidFill>
              <a:latin typeface="Calibri"/>
              <a:ea typeface="Calibri"/>
              <a:cs typeface="Calibri"/>
            </a:rPr>
            <a:pPr/>
            <a:t>10/31/21</a:t>
          </a:fld>
          <a:endParaRPr lang="en-US" sz="1100">
            <a:solidFill>
              <a:schemeClr val="bg1"/>
            </a:solidFill>
          </a:endParaRPr>
        </a:p>
      </xdr:txBody>
    </xdr:sp>
    <xdr:clientData/>
  </xdr:twoCellAnchor>
  <xdr:twoCellAnchor editAs="oneCell">
    <xdr:from>
      <xdr:col>1</xdr:col>
      <xdr:colOff>281246</xdr:colOff>
      <xdr:row>1</xdr:row>
      <xdr:rowOff>145472</xdr:rowOff>
    </xdr:from>
    <xdr:to>
      <xdr:col>2</xdr:col>
      <xdr:colOff>115947</xdr:colOff>
      <xdr:row>4</xdr:row>
      <xdr:rowOff>69965</xdr:rowOff>
    </xdr:to>
    <xdr:pic>
      <xdr:nvPicPr>
        <xdr:cNvPr id="112" name="Graphic 111" descr="House">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5" cstate="print">
          <a:biLevel thresh="25000"/>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676101" y="325581"/>
          <a:ext cx="444301" cy="429491"/>
        </a:xfrm>
        <a:prstGeom prst="rect">
          <a:avLst/>
        </a:prstGeom>
      </xdr:spPr>
    </xdr:pic>
    <xdr:clientData/>
  </xdr:twoCellAnchor>
  <xdr:twoCellAnchor>
    <xdr:from>
      <xdr:col>14</xdr:col>
      <xdr:colOff>27709</xdr:colOff>
      <xdr:row>25</xdr:row>
      <xdr:rowOff>110835</xdr:rowOff>
    </xdr:from>
    <xdr:to>
      <xdr:col>16</xdr:col>
      <xdr:colOff>367145</xdr:colOff>
      <xdr:row>26</xdr:row>
      <xdr:rowOff>159327</xdr:rowOff>
    </xdr:to>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8347364" y="4613562"/>
          <a:ext cx="1558636"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rPr>
            <a:t>Top 5 Expenses Out-Flow</a:t>
          </a:r>
        </a:p>
      </xdr:txBody>
    </xdr:sp>
    <xdr:clientData/>
  </xdr:twoCellAnchor>
  <xdr:twoCellAnchor editAs="oneCell">
    <xdr:from>
      <xdr:col>0</xdr:col>
      <xdr:colOff>304800</xdr:colOff>
      <xdr:row>6</xdr:row>
      <xdr:rowOff>171450</xdr:rowOff>
    </xdr:from>
    <xdr:to>
      <xdr:col>1</xdr:col>
      <xdr:colOff>411826</xdr:colOff>
      <xdr:row>9</xdr:row>
      <xdr:rowOff>47624</xdr:rowOff>
    </xdr:to>
    <xdr:pic>
      <xdr:nvPicPr>
        <xdr:cNvPr id="119" name="Graphic 118" descr="Single gear with solid fill">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37">
          <a:lum bright="70000" contrast="-70000"/>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304800" y="1257300"/>
          <a:ext cx="419099" cy="4190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243840</xdr:colOff>
      <xdr:row>2</xdr:row>
      <xdr:rowOff>129540</xdr:rowOff>
    </xdr:from>
    <xdr:to>
      <xdr:col>12</xdr:col>
      <xdr:colOff>449580</xdr:colOff>
      <xdr:row>13</xdr:row>
      <xdr:rowOff>83820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897880" y="495300"/>
              <a:ext cx="2811780" cy="19659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228600</xdr:colOff>
      <xdr:row>14</xdr:row>
      <xdr:rowOff>3810</xdr:rowOff>
    </xdr:from>
    <xdr:to>
      <xdr:col>12</xdr:col>
      <xdr:colOff>457200</xdr:colOff>
      <xdr:row>23</xdr:row>
      <xdr:rowOff>91440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137160</xdr:colOff>
      <xdr:row>26</xdr:row>
      <xdr:rowOff>38100</xdr:rowOff>
    </xdr:from>
    <xdr:to>
      <xdr:col>12</xdr:col>
      <xdr:colOff>220980</xdr:colOff>
      <xdr:row>34</xdr:row>
      <xdr:rowOff>152400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37</xdr:row>
      <xdr:rowOff>129540</xdr:rowOff>
    </xdr:from>
    <xdr:to>
      <xdr:col>10</xdr:col>
      <xdr:colOff>1112520</xdr:colOff>
      <xdr:row>45</xdr:row>
      <xdr:rowOff>30480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137160</xdr:colOff>
      <xdr:row>50</xdr:row>
      <xdr:rowOff>167640</xdr:rowOff>
    </xdr:from>
    <xdr:to>
      <xdr:col>17</xdr:col>
      <xdr:colOff>175260</xdr:colOff>
      <xdr:row>61</xdr:row>
      <xdr:rowOff>38100</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342900</xdr:colOff>
      <xdr:row>78</xdr:row>
      <xdr:rowOff>121920</xdr:rowOff>
    </xdr:from>
    <xdr:to>
      <xdr:col>19</xdr:col>
      <xdr:colOff>121920</xdr:colOff>
      <xdr:row>89</xdr:row>
      <xdr:rowOff>133350</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16</xdr:col>
      <xdr:colOff>137160</xdr:colOff>
      <xdr:row>90</xdr:row>
      <xdr:rowOff>167640</xdr:rowOff>
    </xdr:from>
    <xdr:to>
      <xdr:col>18</xdr:col>
      <xdr:colOff>99060</xdr:colOff>
      <xdr:row>101</xdr:row>
      <xdr:rowOff>180975</xdr:rowOff>
    </xdr:to>
    <mc:AlternateContent xmlns:mc="http://schemas.openxmlformats.org/markup-compatibility/2006" xmlns:a14="http://schemas.microsoft.com/office/drawing/2010/main">
      <mc:Choice Requires="a14">
        <xdr:graphicFrame macro="">
          <xdr:nvGraphicFramePr>
            <xdr:cNvPr id="11" name="Month Number">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1209020" y="16626840"/>
              <a:ext cx="1181100" cy="20250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228600</xdr:colOff>
      <xdr:row>90</xdr:row>
      <xdr:rowOff>160020</xdr:rowOff>
    </xdr:from>
    <xdr:to>
      <xdr:col>15</xdr:col>
      <xdr:colOff>350520</xdr:colOff>
      <xdr:row>104</xdr:row>
      <xdr:rowOff>66675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014460" y="166192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495300</xdr:colOff>
      <xdr:row>2</xdr:row>
      <xdr:rowOff>16725</xdr:rowOff>
    </xdr:from>
    <xdr:to>
      <xdr:col>2</xdr:col>
      <xdr:colOff>190500</xdr:colOff>
      <xdr:row>6</xdr:row>
      <xdr:rowOff>161505</xdr:rowOff>
    </xdr:to>
    <xdr:pic>
      <xdr:nvPicPr>
        <xdr:cNvPr id="2" name="Graphic 1" descr="Suburban scene">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95300" y="382485"/>
          <a:ext cx="914400" cy="876300"/>
        </a:xfrm>
        <a:prstGeom prst="rect">
          <a:avLst/>
        </a:prstGeom>
      </xdr:spPr>
    </xdr:pic>
    <xdr:clientData/>
  </xdr:twoCellAnchor>
  <xdr:twoCellAnchor editAs="oneCell">
    <xdr:from>
      <xdr:col>0</xdr:col>
      <xdr:colOff>340005</xdr:colOff>
      <xdr:row>8</xdr:row>
      <xdr:rowOff>51930</xdr:rowOff>
    </xdr:from>
    <xdr:to>
      <xdr:col>2</xdr:col>
      <xdr:colOff>35205</xdr:colOff>
      <xdr:row>13</xdr:row>
      <xdr:rowOff>21450</xdr:rowOff>
    </xdr:to>
    <xdr:pic>
      <xdr:nvPicPr>
        <xdr:cNvPr id="4" name="Graphic 3" descr="First aid kit">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lum bright="70000" contrast="-70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40005" y="1514970"/>
          <a:ext cx="914400" cy="883920"/>
        </a:xfrm>
        <a:prstGeom prst="rect">
          <a:avLst/>
        </a:prstGeom>
      </xdr:spPr>
    </xdr:pic>
    <xdr:clientData/>
  </xdr:twoCellAnchor>
  <xdr:twoCellAnchor editAs="oneCell">
    <xdr:from>
      <xdr:col>0</xdr:col>
      <xdr:colOff>351360</xdr:colOff>
      <xdr:row>13</xdr:row>
      <xdr:rowOff>55665</xdr:rowOff>
    </xdr:from>
    <xdr:to>
      <xdr:col>2</xdr:col>
      <xdr:colOff>46560</xdr:colOff>
      <xdr:row>18</xdr:row>
      <xdr:rowOff>17565</xdr:rowOff>
    </xdr:to>
    <xdr:pic>
      <xdr:nvPicPr>
        <xdr:cNvPr id="8" name="Graphic 7" descr="Car">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51360" y="2433105"/>
          <a:ext cx="914400" cy="876300"/>
        </a:xfrm>
        <a:prstGeom prst="rect">
          <a:avLst/>
        </a:prstGeom>
      </xdr:spPr>
    </xdr:pic>
    <xdr:clientData/>
  </xdr:twoCellAnchor>
  <xdr:twoCellAnchor editAs="oneCell">
    <xdr:from>
      <xdr:col>0</xdr:col>
      <xdr:colOff>276225</xdr:colOff>
      <xdr:row>16</xdr:row>
      <xdr:rowOff>124245</xdr:rowOff>
    </xdr:from>
    <xdr:to>
      <xdr:col>1</xdr:col>
      <xdr:colOff>581025</xdr:colOff>
      <xdr:row>21</xdr:row>
      <xdr:rowOff>93765</xdr:rowOff>
    </xdr:to>
    <xdr:pic>
      <xdr:nvPicPr>
        <xdr:cNvPr id="12" name="Graphic 11" descr="Internet">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7">
          <a:lum bright="70000" contrast="-70000"/>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76225" y="3050325"/>
          <a:ext cx="914400" cy="883920"/>
        </a:xfrm>
        <a:prstGeom prst="rect">
          <a:avLst/>
        </a:prstGeom>
      </xdr:spPr>
    </xdr:pic>
    <xdr:clientData/>
  </xdr:twoCellAnchor>
  <xdr:twoCellAnchor>
    <xdr:from>
      <xdr:col>2</xdr:col>
      <xdr:colOff>598170</xdr:colOff>
      <xdr:row>3</xdr:row>
      <xdr:rowOff>134072</xdr:rowOff>
    </xdr:from>
    <xdr:to>
      <xdr:col>3</xdr:col>
      <xdr:colOff>523477</xdr:colOff>
      <xdr:row>6</xdr:row>
      <xdr:rowOff>120681</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1817370" y="682712"/>
          <a:ext cx="534907" cy="535249"/>
          <a:chOff x="2724150" y="5556542"/>
          <a:chExt cx="534907" cy="550489"/>
        </a:xfrm>
      </xdr:grpSpPr>
      <xdr:pic>
        <xdr:nvPicPr>
          <xdr:cNvPr id="18" name="Graphic 17" descr="Fruit bowl">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9" cstate="print">
            <a:duotone>
              <a:prstClr val="black"/>
              <a:schemeClr val="tx2">
                <a:tint val="45000"/>
                <a:satMod val="400000"/>
              </a:schemeClr>
            </a:duotone>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877303" y="5556542"/>
            <a:ext cx="228600" cy="228600"/>
          </a:xfrm>
          <a:prstGeom prst="rect">
            <a:avLst/>
          </a:prstGeom>
        </xdr:spPr>
      </xdr:pic>
      <xdr:pic>
        <xdr:nvPicPr>
          <xdr:cNvPr id="19" name="Graphic 18" descr="Table and chairs with solid fill">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1">
            <a:duotone>
              <a:prstClr val="black"/>
              <a:schemeClr val="tx2">
                <a:tint val="45000"/>
                <a:satMod val="400000"/>
              </a:schemeClr>
            </a:duotone>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724150" y="5572124"/>
            <a:ext cx="534907" cy="534907"/>
          </a:xfrm>
          <a:prstGeom prst="rect">
            <a:avLst/>
          </a:prstGeom>
        </xdr:spPr>
      </xdr:pic>
    </xdr:grpSp>
    <xdr:clientData/>
  </xdr:twoCellAnchor>
  <xdr:twoCellAnchor editAs="oneCell">
    <xdr:from>
      <xdr:col>3</xdr:col>
      <xdr:colOff>140970</xdr:colOff>
      <xdr:row>8</xdr:row>
      <xdr:rowOff>117270</xdr:rowOff>
    </xdr:from>
    <xdr:to>
      <xdr:col>3</xdr:col>
      <xdr:colOff>571656</xdr:colOff>
      <xdr:row>10</xdr:row>
      <xdr:rowOff>168270</xdr:rowOff>
    </xdr:to>
    <xdr:pic>
      <xdr:nvPicPr>
        <xdr:cNvPr id="20" name="Graphic 19" descr="Shopping bag with solid fil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3">
          <a:duotone>
            <a:prstClr val="black"/>
            <a:schemeClr val="accent1">
              <a:tint val="45000"/>
              <a:satMod val="400000"/>
            </a:schemeClr>
          </a:duotone>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969770" y="1580310"/>
          <a:ext cx="430686" cy="416760"/>
        </a:xfrm>
        <a:prstGeom prst="rect">
          <a:avLst/>
        </a:prstGeom>
      </xdr:spPr>
    </xdr:pic>
    <xdr:clientData/>
  </xdr:twoCellAnchor>
  <xdr:twoCellAnchor editAs="oneCell">
    <xdr:from>
      <xdr:col>13</xdr:col>
      <xdr:colOff>302400</xdr:colOff>
      <xdr:row>25</xdr:row>
      <xdr:rowOff>52005</xdr:rowOff>
    </xdr:from>
    <xdr:to>
      <xdr:col>14</xdr:col>
      <xdr:colOff>137808</xdr:colOff>
      <xdr:row>27</xdr:row>
      <xdr:rowOff>100773</xdr:rowOff>
    </xdr:to>
    <xdr:pic>
      <xdr:nvPicPr>
        <xdr:cNvPr id="21" name="Graphic 20" descr="Money">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8227200" y="4624005"/>
          <a:ext cx="445008" cy="414528"/>
        </a:xfrm>
        <a:prstGeom prst="rect">
          <a:avLst/>
        </a:prstGeom>
      </xdr:spPr>
    </xdr:pic>
    <xdr:clientData/>
  </xdr:twoCellAnchor>
  <xdr:twoCellAnchor editAs="oneCell">
    <xdr:from>
      <xdr:col>23</xdr:col>
      <xdr:colOff>373800</xdr:colOff>
      <xdr:row>2</xdr:row>
      <xdr:rowOff>0</xdr:rowOff>
    </xdr:from>
    <xdr:to>
      <xdr:col>24</xdr:col>
      <xdr:colOff>0</xdr:colOff>
      <xdr:row>3</xdr:row>
      <xdr:rowOff>45300</xdr:rowOff>
    </xdr:to>
    <xdr:pic>
      <xdr:nvPicPr>
        <xdr:cNvPr id="22" name="Graphic 21" descr="Filter">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4394600" y="365760"/>
          <a:ext cx="235800" cy="228180"/>
        </a:xfrm>
        <a:prstGeom prst="rect">
          <a:avLst/>
        </a:prstGeom>
      </xdr:spPr>
    </xdr:pic>
    <xdr:clientData/>
  </xdr:twoCellAnchor>
  <xdr:twoCellAnchor editAs="oneCell">
    <xdr:from>
      <xdr:col>3</xdr:col>
      <xdr:colOff>91440</xdr:colOff>
      <xdr:row>13</xdr:row>
      <xdr:rowOff>15240</xdr:rowOff>
    </xdr:from>
    <xdr:to>
      <xdr:col>3</xdr:col>
      <xdr:colOff>535741</xdr:colOff>
      <xdr:row>15</xdr:row>
      <xdr:rowOff>80703</xdr:rowOff>
    </xdr:to>
    <xdr:pic>
      <xdr:nvPicPr>
        <xdr:cNvPr id="23" name="Graphic 22" descr="House">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19" cstate="print">
          <a:biLevel thresh="25000"/>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920240" y="2392680"/>
          <a:ext cx="444301" cy="431223"/>
        </a:xfrm>
        <a:prstGeom prst="rect">
          <a:avLst/>
        </a:prstGeom>
      </xdr:spPr>
    </xdr:pic>
    <xdr:clientData/>
  </xdr:twoCellAnchor>
  <xdr:twoCellAnchor>
    <xdr:from>
      <xdr:col>3</xdr:col>
      <xdr:colOff>68580</xdr:colOff>
      <xdr:row>17</xdr:row>
      <xdr:rowOff>7620</xdr:rowOff>
    </xdr:from>
    <xdr:to>
      <xdr:col>3</xdr:col>
      <xdr:colOff>513588</xdr:colOff>
      <xdr:row>19</xdr:row>
      <xdr:rowOff>58985</xdr:rowOff>
    </xdr:to>
    <xdr:pic>
      <xdr:nvPicPr>
        <xdr:cNvPr id="24" name="Graphic 23" descr="Money">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21">
          <a:lum bright="70000" contrast="-70000"/>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897380" y="3116580"/>
          <a:ext cx="445008" cy="417125"/>
        </a:xfrm>
        <a:prstGeom prst="rect">
          <a:avLst/>
        </a:prstGeom>
      </xdr:spPr>
    </xdr:pic>
    <xdr:clientData/>
  </xdr:twoCellAnchor>
  <xdr:twoCellAnchor editAs="oneCell">
    <xdr:from>
      <xdr:col>3</xdr:col>
      <xdr:colOff>190500</xdr:colOff>
      <xdr:row>20</xdr:row>
      <xdr:rowOff>99060</xdr:rowOff>
    </xdr:from>
    <xdr:to>
      <xdr:col>3</xdr:col>
      <xdr:colOff>426300</xdr:colOff>
      <xdr:row>21</xdr:row>
      <xdr:rowOff>145226</xdr:rowOff>
    </xdr:to>
    <xdr:pic>
      <xdr:nvPicPr>
        <xdr:cNvPr id="25" name="Graphic 24" descr="Filter">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019300" y="3756660"/>
          <a:ext cx="235800" cy="229046"/>
        </a:xfrm>
        <a:prstGeom prst="rect">
          <a:avLst/>
        </a:prstGeom>
      </xdr:spPr>
    </xdr:pic>
    <xdr:clientData/>
  </xdr:twoCellAnchor>
  <xdr:twoCellAnchor editAs="oneCell">
    <xdr:from>
      <xdr:col>3</xdr:col>
      <xdr:colOff>190500</xdr:colOff>
      <xdr:row>20</xdr:row>
      <xdr:rowOff>99060</xdr:rowOff>
    </xdr:from>
    <xdr:to>
      <xdr:col>3</xdr:col>
      <xdr:colOff>601020</xdr:colOff>
      <xdr:row>22</xdr:row>
      <xdr:rowOff>131273</xdr:rowOff>
    </xdr:to>
    <xdr:pic macro="[0]!remove_slicer_filter">
      <xdr:nvPicPr>
        <xdr:cNvPr id="27" name="Graphic 26" descr="Garbage">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019300" y="3756660"/>
          <a:ext cx="410520" cy="397973"/>
        </a:xfrm>
        <a:prstGeom prst="rect">
          <a:avLst/>
        </a:prstGeom>
      </xdr:spPr>
    </xdr:pic>
    <xdr:clientData/>
  </xdr:twoCellAnchor>
  <xdr:twoCellAnchor editAs="oneCell">
    <xdr:from>
      <xdr:col>4</xdr:col>
      <xdr:colOff>441960</xdr:colOff>
      <xdr:row>4</xdr:row>
      <xdr:rowOff>83820</xdr:rowOff>
    </xdr:from>
    <xdr:to>
      <xdr:col>5</xdr:col>
      <xdr:colOff>160342</xdr:colOff>
      <xdr:row>6</xdr:row>
      <xdr:rowOff>47774</xdr:rowOff>
    </xdr:to>
    <xdr:pic>
      <xdr:nvPicPr>
        <xdr:cNvPr id="28" name="Graphic 27" descr="Daily calendar outline">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25"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2880360" y="815340"/>
          <a:ext cx="327982" cy="329714"/>
        </a:xfrm>
        <a:prstGeom prst="rect">
          <a:avLst/>
        </a:prstGeom>
      </xdr:spPr>
    </xdr:pic>
    <xdr:clientData/>
  </xdr:twoCellAnchor>
  <xdr:twoCellAnchor editAs="oneCell">
    <xdr:from>
      <xdr:col>4</xdr:col>
      <xdr:colOff>426720</xdr:colOff>
      <xdr:row>8</xdr:row>
      <xdr:rowOff>76200</xdr:rowOff>
    </xdr:from>
    <xdr:to>
      <xdr:col>5</xdr:col>
      <xdr:colOff>417019</xdr:colOff>
      <xdr:row>10</xdr:row>
      <xdr:rowOff>151363</xdr:rowOff>
    </xdr:to>
    <xdr:pic>
      <xdr:nvPicPr>
        <xdr:cNvPr id="34" name="Picture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27" cstate="print">
          <a:duotone>
            <a:prstClr val="black"/>
            <a:srgbClr val="D9C3A5">
              <a:tint val="50000"/>
              <a:satMod val="180000"/>
            </a:srgbClr>
          </a:duotone>
          <a:extLst>
            <a:ext uri="{BEBA8EAE-BF5A-486C-A8C5-ECC9F3942E4B}">
              <a14:imgProps xmlns:a14="http://schemas.microsoft.com/office/drawing/2010/main">
                <a14:imgLayer r:embed="rId28">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2865120" y="1539240"/>
          <a:ext cx="599899" cy="44092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it Karmakar" refreshedDate="45491.037972916667" createdVersion="8" refreshedVersion="8" minRefreshableVersion="3" recordCount="486" xr:uid="{148A2F8B-081D-4C2D-A2C4-45FDC8D85A86}">
  <cacheSource type="worksheet">
    <worksheetSource name="Table1"/>
  </cacheSource>
  <cacheFields count="11">
    <cacheField name="Date" numFmtId="164">
      <sharedItems containsSemiMixedTypes="0" containsNonDate="0" containsDate="1" containsString="0" minDate="2021-01-04T00:00:00" maxDate="2021-11-01T00:00:00"/>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unt="18">
        <s v="Data with Decision"/>
        <s v="Coffee"/>
        <s v="Rent"/>
        <s v="Cash loan"/>
        <s v="Groceries"/>
        <s v="Gas/Electrics"/>
        <s v="Entertainment"/>
        <s v="Clothes"/>
        <s v="Restaurant"/>
        <s v="Taxi"/>
        <s v="YouTube"/>
        <s v="Teachable"/>
        <s v="Phone"/>
        <s v="Gifts"/>
        <s v="Donation"/>
        <s v="Fueling"/>
        <s v="Doctor"/>
        <s v="Furnishings"/>
      </sharedItems>
    </cacheField>
    <cacheField name="Category" numFmtId="0">
      <sharedItems count="8">
        <s v="Salary"/>
        <s v="Dining Out"/>
        <s v="Living Expenses"/>
        <s v="Transport"/>
        <s v="Discretionary"/>
        <s v="Passive"/>
        <s v="Charity"/>
        <s v="Medical"/>
      </sharedItems>
    </cacheField>
    <cacheField name="Category Type" numFmtId="0">
      <sharedItems count="2">
        <s v="Income"/>
        <s v="Expense"/>
      </sharedItems>
    </cacheField>
    <cacheField name="Month Number" numFmtId="0">
      <sharedItems containsSemiMixedTypes="0" containsString="0" containsNumber="1" containsInteger="1" minValue="1" maxValue="10" count="10">
        <n v="1"/>
        <n v="2"/>
        <n v="3"/>
        <n v="4"/>
        <n v="5"/>
        <n v="6"/>
        <n v="7"/>
        <n v="8"/>
        <n v="9"/>
        <n v="10"/>
      </sharedItems>
    </cacheField>
    <cacheField name="Weekday" numFmtId="165">
      <sharedItems containsSemiMixedTypes="0" containsNonDate="0" containsDate="1" containsString="0" minDate="1899-12-31T00:00:00" maxDate="1900-01-07T00:00:00" count="7">
        <d v="1900-01-01T00:00:00"/>
        <d v="1900-01-02T00:00:00"/>
        <d v="1900-01-03T00:00:00"/>
        <d v="1900-01-04T00:00:00"/>
        <d v="1900-01-05T00:00:00"/>
        <d v="1900-01-06T00:00:00"/>
        <d v="1899-12-31T00:00:00"/>
      </sharedItems>
    </cacheField>
    <cacheField name="Amount" numFmtId="0">
      <sharedItems containsSemiMixedTypes="0" containsString="0" containsNumber="1" minValue="-900" maxValue="5000"/>
    </cacheField>
    <cacheField name="Month Name" numFmtId="167">
      <sharedItems count="10">
        <s v="Jan"/>
        <s v="Feb"/>
        <s v="Mar"/>
        <s v="Apr"/>
        <s v="May"/>
        <s v="Jun"/>
        <s v="Jul"/>
        <s v="Aug"/>
        <s v="Sep"/>
        <s v="Oct"/>
      </sharedItems>
    </cacheField>
  </cacheFields>
  <extLst>
    <ext xmlns:x14="http://schemas.microsoft.com/office/spreadsheetml/2009/9/main" uri="{725AE2AE-9491-48be-B2B4-4EB974FC3084}">
      <x14:pivotCacheDefinition pivotCacheId="18797136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6">
  <r>
    <d v="2021-01-04T00:00:00"/>
    <s v="Data With Decision"/>
    <m/>
    <n v="5000"/>
    <x v="0"/>
    <x v="0"/>
    <x v="0"/>
    <x v="0"/>
    <x v="0"/>
    <n v="5000"/>
    <x v="0"/>
  </r>
  <r>
    <d v="2021-01-04T00:00:00"/>
    <s v="Drink"/>
    <n v="5"/>
    <m/>
    <x v="1"/>
    <x v="1"/>
    <x v="1"/>
    <x v="0"/>
    <x v="0"/>
    <n v="-5"/>
    <x v="0"/>
  </r>
  <r>
    <d v="2021-01-05T00:00:00"/>
    <s v="Estate Mangement"/>
    <n v="900"/>
    <m/>
    <x v="2"/>
    <x v="2"/>
    <x v="1"/>
    <x v="0"/>
    <x v="1"/>
    <n v="-900"/>
    <x v="0"/>
  </r>
  <r>
    <d v="2021-01-05T00:00:00"/>
    <s v="Financail upgrade"/>
    <n v="150"/>
    <m/>
    <x v="3"/>
    <x v="3"/>
    <x v="1"/>
    <x v="0"/>
    <x v="1"/>
    <n v="-150"/>
    <x v="0"/>
  </r>
  <r>
    <d v="2021-01-05T00:00:00"/>
    <s v="Drink"/>
    <n v="5"/>
    <m/>
    <x v="1"/>
    <x v="1"/>
    <x v="1"/>
    <x v="0"/>
    <x v="1"/>
    <n v="-5"/>
    <x v="0"/>
  </r>
  <r>
    <d v="2021-01-06T00:00:00"/>
    <s v="Drink"/>
    <n v="5"/>
    <m/>
    <x v="1"/>
    <x v="1"/>
    <x v="1"/>
    <x v="0"/>
    <x v="2"/>
    <n v="-5"/>
    <x v="0"/>
  </r>
  <r>
    <d v="2021-01-07T00:00:00"/>
    <s v="Drink"/>
    <n v="5"/>
    <m/>
    <x v="1"/>
    <x v="1"/>
    <x v="1"/>
    <x v="0"/>
    <x v="3"/>
    <n v="-5"/>
    <x v="0"/>
  </r>
  <r>
    <d v="2021-01-08T00:00:00"/>
    <s v="Drink"/>
    <n v="5"/>
    <m/>
    <x v="1"/>
    <x v="1"/>
    <x v="1"/>
    <x v="0"/>
    <x v="4"/>
    <n v="-5"/>
    <x v="0"/>
  </r>
  <r>
    <d v="2021-01-08T00:00:00"/>
    <s v="Green's"/>
    <n v="155"/>
    <m/>
    <x v="4"/>
    <x v="2"/>
    <x v="1"/>
    <x v="0"/>
    <x v="4"/>
    <n v="-155"/>
    <x v="0"/>
  </r>
  <r>
    <d v="2021-01-11T00:00:00"/>
    <s v="Power source"/>
    <n v="50"/>
    <m/>
    <x v="5"/>
    <x v="2"/>
    <x v="1"/>
    <x v="0"/>
    <x v="0"/>
    <n v="-50"/>
    <x v="0"/>
  </r>
  <r>
    <d v="2021-01-11T00:00:00"/>
    <s v="Drink"/>
    <n v="5"/>
    <m/>
    <x v="1"/>
    <x v="1"/>
    <x v="1"/>
    <x v="0"/>
    <x v="0"/>
    <n v="-5"/>
    <x v="0"/>
  </r>
  <r>
    <d v="2021-01-12T00:00:00"/>
    <s v="Drink"/>
    <n v="5"/>
    <m/>
    <x v="1"/>
    <x v="1"/>
    <x v="1"/>
    <x v="0"/>
    <x v="1"/>
    <n v="-5"/>
    <x v="0"/>
  </r>
  <r>
    <d v="2021-01-13T00:00:00"/>
    <s v="Fuel"/>
    <n v="77"/>
    <m/>
    <x v="1"/>
    <x v="1"/>
    <x v="1"/>
    <x v="0"/>
    <x v="2"/>
    <n v="-77"/>
    <x v="0"/>
  </r>
  <r>
    <d v="2021-01-13T00:00:00"/>
    <s v="Drink"/>
    <n v="5"/>
    <m/>
    <x v="1"/>
    <x v="1"/>
    <x v="1"/>
    <x v="0"/>
    <x v="2"/>
    <n v="-5"/>
    <x v="0"/>
  </r>
  <r>
    <d v="2021-01-14T00:00:00"/>
    <s v="Drink"/>
    <n v="5"/>
    <m/>
    <x v="1"/>
    <x v="1"/>
    <x v="1"/>
    <x v="0"/>
    <x v="3"/>
    <n v="-5"/>
    <x v="0"/>
  </r>
  <r>
    <d v="2021-01-15T00:00:00"/>
    <s v="Green's"/>
    <n v="135"/>
    <m/>
    <x v="4"/>
    <x v="2"/>
    <x v="1"/>
    <x v="0"/>
    <x v="4"/>
    <n v="-135"/>
    <x v="0"/>
  </r>
  <r>
    <d v="2021-01-15T00:00:00"/>
    <s v="Drink"/>
    <n v="5"/>
    <m/>
    <x v="1"/>
    <x v="1"/>
    <x v="1"/>
    <x v="0"/>
    <x v="4"/>
    <n v="-5"/>
    <x v="0"/>
  </r>
  <r>
    <d v="2021-01-16T00:00:00"/>
    <s v="Drink"/>
    <n v="5"/>
    <m/>
    <x v="1"/>
    <x v="1"/>
    <x v="1"/>
    <x v="0"/>
    <x v="5"/>
    <n v="-5"/>
    <x v="0"/>
  </r>
  <r>
    <d v="2021-01-16T00:00:00"/>
    <s v="Cinemas"/>
    <n v="40"/>
    <m/>
    <x v="6"/>
    <x v="4"/>
    <x v="1"/>
    <x v="0"/>
    <x v="5"/>
    <n v="-40"/>
    <x v="0"/>
  </r>
  <r>
    <d v="2021-01-16T00:00:00"/>
    <s v="Fashionistas"/>
    <n v="98"/>
    <m/>
    <x v="7"/>
    <x v="4"/>
    <x v="1"/>
    <x v="0"/>
    <x v="5"/>
    <n v="-98"/>
    <x v="0"/>
  </r>
  <r>
    <d v="2021-01-16T00:00:00"/>
    <s v="Burger"/>
    <n v="52"/>
    <m/>
    <x v="8"/>
    <x v="1"/>
    <x v="1"/>
    <x v="0"/>
    <x v="5"/>
    <n v="-52"/>
    <x v="0"/>
  </r>
  <r>
    <d v="2021-01-17T00:00:00"/>
    <s v="Uba"/>
    <n v="28"/>
    <m/>
    <x v="9"/>
    <x v="3"/>
    <x v="1"/>
    <x v="0"/>
    <x v="6"/>
    <n v="-28"/>
    <x v="0"/>
  </r>
  <r>
    <d v="2021-01-18T00:00:00"/>
    <s v="Onlne earning"/>
    <m/>
    <n v="4500"/>
    <x v="10"/>
    <x v="5"/>
    <x v="0"/>
    <x v="0"/>
    <x v="0"/>
    <n v="4500"/>
    <x v="0"/>
  </r>
  <r>
    <d v="2021-01-18T00:00:00"/>
    <s v="Drink"/>
    <n v="5"/>
    <m/>
    <x v="1"/>
    <x v="1"/>
    <x v="1"/>
    <x v="0"/>
    <x v="0"/>
    <n v="-5"/>
    <x v="0"/>
  </r>
  <r>
    <d v="2021-01-19T00:00:00"/>
    <s v="Drink"/>
    <n v="5"/>
    <m/>
    <x v="1"/>
    <x v="1"/>
    <x v="1"/>
    <x v="0"/>
    <x v="1"/>
    <n v="-5"/>
    <x v="0"/>
  </r>
  <r>
    <d v="2021-01-19T00:00:00"/>
    <s v="Onlne earning"/>
    <m/>
    <n v="4500"/>
    <x v="11"/>
    <x v="5"/>
    <x v="0"/>
    <x v="0"/>
    <x v="1"/>
    <n v="4500"/>
    <x v="0"/>
  </r>
  <r>
    <d v="2021-01-19T00:00:00"/>
    <s v="Phone"/>
    <n v="40"/>
    <m/>
    <x v="12"/>
    <x v="2"/>
    <x v="1"/>
    <x v="0"/>
    <x v="1"/>
    <n v="-40"/>
    <x v="0"/>
  </r>
  <r>
    <d v="2021-01-20T00:00:00"/>
    <s v="Sallah give away"/>
    <n v="45"/>
    <m/>
    <x v="13"/>
    <x v="4"/>
    <x v="1"/>
    <x v="0"/>
    <x v="2"/>
    <n v="-45"/>
    <x v="0"/>
  </r>
  <r>
    <d v="2021-01-20T00:00:00"/>
    <s v="Online streaming"/>
    <n v="32"/>
    <m/>
    <x v="6"/>
    <x v="4"/>
    <x v="1"/>
    <x v="0"/>
    <x v="2"/>
    <n v="-32"/>
    <x v="0"/>
  </r>
  <r>
    <d v="2021-01-20T00:00:00"/>
    <s v="Drink"/>
    <n v="5"/>
    <m/>
    <x v="1"/>
    <x v="1"/>
    <x v="1"/>
    <x v="0"/>
    <x v="2"/>
    <n v="-5"/>
    <x v="0"/>
  </r>
  <r>
    <d v="2021-01-21T00:00:00"/>
    <s v="Drink"/>
    <n v="5"/>
    <m/>
    <x v="1"/>
    <x v="1"/>
    <x v="1"/>
    <x v="0"/>
    <x v="3"/>
    <n v="-5"/>
    <x v="0"/>
  </r>
  <r>
    <d v="2021-01-22T00:00:00"/>
    <s v="Drink"/>
    <n v="5"/>
    <m/>
    <x v="1"/>
    <x v="1"/>
    <x v="1"/>
    <x v="0"/>
    <x v="4"/>
    <n v="-5"/>
    <x v="0"/>
  </r>
  <r>
    <d v="2021-01-22T00:00:00"/>
    <s v="Green's"/>
    <n v="170"/>
    <m/>
    <x v="4"/>
    <x v="2"/>
    <x v="1"/>
    <x v="0"/>
    <x v="4"/>
    <n v="-170"/>
    <x v="0"/>
  </r>
  <r>
    <d v="2021-01-23T00:00:00"/>
    <s v="Suya"/>
    <n v="37"/>
    <m/>
    <x v="8"/>
    <x v="1"/>
    <x v="1"/>
    <x v="0"/>
    <x v="5"/>
    <n v="-37"/>
    <x v="0"/>
  </r>
  <r>
    <d v="2021-01-24T00:00:00"/>
    <s v="Oha soup/White soup"/>
    <n v="12"/>
    <m/>
    <x v="8"/>
    <x v="1"/>
    <x v="1"/>
    <x v="0"/>
    <x v="6"/>
    <n v="-12"/>
    <x v="0"/>
  </r>
  <r>
    <d v="2021-01-25T00:00:00"/>
    <s v="Orphanage"/>
    <n v="55"/>
    <m/>
    <x v="14"/>
    <x v="6"/>
    <x v="1"/>
    <x v="0"/>
    <x v="0"/>
    <n v="-55"/>
    <x v="0"/>
  </r>
  <r>
    <d v="2021-01-25T00:00:00"/>
    <s v="Fuel"/>
    <n v="63"/>
    <m/>
    <x v="15"/>
    <x v="3"/>
    <x v="1"/>
    <x v="0"/>
    <x v="0"/>
    <n v="-63"/>
    <x v="0"/>
  </r>
  <r>
    <d v="2021-01-25T00:00:00"/>
    <s v="Drink"/>
    <n v="5"/>
    <m/>
    <x v="1"/>
    <x v="1"/>
    <x v="1"/>
    <x v="0"/>
    <x v="0"/>
    <n v="-5"/>
    <x v="0"/>
  </r>
  <r>
    <d v="2021-01-26T00:00:00"/>
    <s v="Drink"/>
    <n v="5"/>
    <m/>
    <x v="1"/>
    <x v="1"/>
    <x v="1"/>
    <x v="0"/>
    <x v="1"/>
    <n v="-5"/>
    <x v="0"/>
  </r>
  <r>
    <d v="2021-01-27T00:00:00"/>
    <s v="Drink"/>
    <n v="5"/>
    <m/>
    <x v="1"/>
    <x v="1"/>
    <x v="1"/>
    <x v="0"/>
    <x v="2"/>
    <n v="-5"/>
    <x v="0"/>
  </r>
  <r>
    <d v="2021-01-28T00:00:00"/>
    <s v="Drink"/>
    <n v="5"/>
    <m/>
    <x v="1"/>
    <x v="1"/>
    <x v="1"/>
    <x v="0"/>
    <x v="3"/>
    <n v="-5"/>
    <x v="0"/>
  </r>
  <r>
    <d v="2021-01-29T00:00:00"/>
    <s v="Drink"/>
    <n v="5"/>
    <m/>
    <x v="1"/>
    <x v="1"/>
    <x v="1"/>
    <x v="0"/>
    <x v="4"/>
    <n v="-5"/>
    <x v="0"/>
  </r>
  <r>
    <d v="2021-01-29T00:00:00"/>
    <s v="Green's"/>
    <n v="162"/>
    <m/>
    <x v="4"/>
    <x v="2"/>
    <x v="1"/>
    <x v="0"/>
    <x v="4"/>
    <n v="-162"/>
    <x v="0"/>
  </r>
  <r>
    <d v="2021-01-30T00:00:00"/>
    <s v="Trainers"/>
    <n v="125"/>
    <m/>
    <x v="7"/>
    <x v="4"/>
    <x v="1"/>
    <x v="0"/>
    <x v="5"/>
    <n v="-125"/>
    <x v="0"/>
  </r>
  <r>
    <d v="2021-01-30T00:00:00"/>
    <s v="Hangingout/Ticket"/>
    <n v="175"/>
    <m/>
    <x v="6"/>
    <x v="4"/>
    <x v="1"/>
    <x v="0"/>
    <x v="5"/>
    <n v="-175"/>
    <x v="0"/>
  </r>
  <r>
    <d v="2021-01-31T00:00:00"/>
    <s v="Fashionistas"/>
    <n v="145"/>
    <m/>
    <x v="7"/>
    <x v="4"/>
    <x v="1"/>
    <x v="0"/>
    <x v="6"/>
    <n v="-145"/>
    <x v="0"/>
  </r>
  <r>
    <d v="2021-01-31T00:00:00"/>
    <s v="Uba"/>
    <n v="23"/>
    <m/>
    <x v="9"/>
    <x v="3"/>
    <x v="1"/>
    <x v="0"/>
    <x v="6"/>
    <n v="-23"/>
    <x v="0"/>
  </r>
  <r>
    <d v="2021-02-01T00:00:00"/>
    <s v="Data With Decision"/>
    <m/>
    <n v="5000"/>
    <x v="0"/>
    <x v="0"/>
    <x v="0"/>
    <x v="1"/>
    <x v="0"/>
    <n v="5000"/>
    <x v="1"/>
  </r>
  <r>
    <d v="2021-02-01T00:00:00"/>
    <s v="Drink"/>
    <n v="5"/>
    <m/>
    <x v="1"/>
    <x v="1"/>
    <x v="1"/>
    <x v="1"/>
    <x v="0"/>
    <n v="-5"/>
    <x v="1"/>
  </r>
  <r>
    <d v="2021-02-02T00:00:00"/>
    <s v="Estate Mangement"/>
    <n v="900"/>
    <m/>
    <x v="2"/>
    <x v="2"/>
    <x v="1"/>
    <x v="1"/>
    <x v="1"/>
    <n v="-900"/>
    <x v="1"/>
  </r>
  <r>
    <d v="2021-02-02T00:00:00"/>
    <s v="Financail upgrade"/>
    <n v="150"/>
    <m/>
    <x v="3"/>
    <x v="3"/>
    <x v="1"/>
    <x v="1"/>
    <x v="1"/>
    <n v="-150"/>
    <x v="1"/>
  </r>
  <r>
    <d v="2021-02-02T00:00:00"/>
    <s v="Drink"/>
    <n v="5"/>
    <m/>
    <x v="1"/>
    <x v="1"/>
    <x v="1"/>
    <x v="1"/>
    <x v="1"/>
    <n v="-5"/>
    <x v="1"/>
  </r>
  <r>
    <d v="2021-02-03T00:00:00"/>
    <s v="Drink"/>
    <n v="5"/>
    <m/>
    <x v="1"/>
    <x v="1"/>
    <x v="1"/>
    <x v="1"/>
    <x v="2"/>
    <n v="-5"/>
    <x v="1"/>
  </r>
  <r>
    <d v="2021-02-04T00:00:00"/>
    <s v="Drink"/>
    <n v="5"/>
    <m/>
    <x v="1"/>
    <x v="1"/>
    <x v="1"/>
    <x v="1"/>
    <x v="3"/>
    <n v="-5"/>
    <x v="1"/>
  </r>
  <r>
    <d v="2021-02-05T00:00:00"/>
    <s v="Drink"/>
    <n v="5"/>
    <m/>
    <x v="1"/>
    <x v="1"/>
    <x v="1"/>
    <x v="1"/>
    <x v="4"/>
    <n v="-5"/>
    <x v="1"/>
  </r>
  <r>
    <d v="2021-02-05T00:00:00"/>
    <s v="Green's"/>
    <n v="205"/>
    <m/>
    <x v="4"/>
    <x v="2"/>
    <x v="1"/>
    <x v="1"/>
    <x v="4"/>
    <n v="-205"/>
    <x v="1"/>
  </r>
  <r>
    <d v="2021-02-08T00:00:00"/>
    <s v="Power source"/>
    <n v="51.1"/>
    <m/>
    <x v="5"/>
    <x v="2"/>
    <x v="1"/>
    <x v="1"/>
    <x v="0"/>
    <n v="-51.1"/>
    <x v="1"/>
  </r>
  <r>
    <d v="2021-02-08T00:00:00"/>
    <s v="Drink"/>
    <n v="5"/>
    <m/>
    <x v="1"/>
    <x v="1"/>
    <x v="1"/>
    <x v="1"/>
    <x v="0"/>
    <n v="-5"/>
    <x v="1"/>
  </r>
  <r>
    <d v="2021-02-09T00:00:00"/>
    <s v="Drink"/>
    <n v="5"/>
    <m/>
    <x v="1"/>
    <x v="1"/>
    <x v="1"/>
    <x v="1"/>
    <x v="1"/>
    <n v="-5"/>
    <x v="1"/>
  </r>
  <r>
    <d v="2021-02-10T00:00:00"/>
    <s v="Fuel"/>
    <n v="78"/>
    <m/>
    <x v="15"/>
    <x v="3"/>
    <x v="1"/>
    <x v="1"/>
    <x v="2"/>
    <n v="-78"/>
    <x v="1"/>
  </r>
  <r>
    <d v="2021-02-10T00:00:00"/>
    <s v="Drink"/>
    <n v="5"/>
    <m/>
    <x v="1"/>
    <x v="1"/>
    <x v="1"/>
    <x v="1"/>
    <x v="2"/>
    <n v="-5"/>
    <x v="1"/>
  </r>
  <r>
    <d v="2021-02-11T00:00:00"/>
    <s v="Drink"/>
    <n v="5"/>
    <m/>
    <x v="1"/>
    <x v="1"/>
    <x v="1"/>
    <x v="1"/>
    <x v="3"/>
    <n v="-5"/>
    <x v="1"/>
  </r>
  <r>
    <d v="2021-02-12T00:00:00"/>
    <s v="Green's"/>
    <n v="135.9"/>
    <m/>
    <x v="4"/>
    <x v="2"/>
    <x v="1"/>
    <x v="1"/>
    <x v="4"/>
    <n v="-135.9"/>
    <x v="1"/>
  </r>
  <r>
    <d v="2021-02-12T00:00:00"/>
    <s v="Drink"/>
    <n v="5"/>
    <m/>
    <x v="1"/>
    <x v="1"/>
    <x v="1"/>
    <x v="1"/>
    <x v="4"/>
    <n v="-5"/>
    <x v="1"/>
  </r>
  <r>
    <d v="2021-02-13T00:00:00"/>
    <s v="Drink"/>
    <n v="5"/>
    <m/>
    <x v="1"/>
    <x v="1"/>
    <x v="1"/>
    <x v="1"/>
    <x v="5"/>
    <n v="-5"/>
    <x v="1"/>
  </r>
  <r>
    <d v="2021-02-13T00:00:00"/>
    <s v="Cinemas"/>
    <n v="40.9"/>
    <m/>
    <x v="6"/>
    <x v="4"/>
    <x v="1"/>
    <x v="1"/>
    <x v="5"/>
    <n v="-40.9"/>
    <x v="1"/>
  </r>
  <r>
    <d v="2021-02-13T00:00:00"/>
    <s v="Fashionistas"/>
    <n v="99"/>
    <m/>
    <x v="7"/>
    <x v="4"/>
    <x v="1"/>
    <x v="1"/>
    <x v="5"/>
    <n v="-99"/>
    <x v="1"/>
  </r>
  <r>
    <d v="2021-02-13T00:00:00"/>
    <s v="Burger"/>
    <n v="53"/>
    <m/>
    <x v="8"/>
    <x v="1"/>
    <x v="1"/>
    <x v="1"/>
    <x v="5"/>
    <n v="-53"/>
    <x v="1"/>
  </r>
  <r>
    <d v="2021-02-14T00:00:00"/>
    <s v="Uba"/>
    <n v="28.9"/>
    <m/>
    <x v="9"/>
    <x v="3"/>
    <x v="1"/>
    <x v="1"/>
    <x v="6"/>
    <n v="-28.9"/>
    <x v="1"/>
  </r>
  <r>
    <d v="2021-02-15T00:00:00"/>
    <s v="Onlne earning"/>
    <m/>
    <n v="800"/>
    <x v="10"/>
    <x v="5"/>
    <x v="0"/>
    <x v="1"/>
    <x v="0"/>
    <n v="800"/>
    <x v="1"/>
  </r>
  <r>
    <d v="2021-02-15T00:00:00"/>
    <s v="Drink"/>
    <n v="5"/>
    <m/>
    <x v="1"/>
    <x v="1"/>
    <x v="1"/>
    <x v="1"/>
    <x v="0"/>
    <n v="-5"/>
    <x v="1"/>
  </r>
  <r>
    <d v="2021-02-16T00:00:00"/>
    <s v="Drink"/>
    <n v="5"/>
    <m/>
    <x v="1"/>
    <x v="1"/>
    <x v="1"/>
    <x v="1"/>
    <x v="1"/>
    <n v="-5"/>
    <x v="1"/>
  </r>
  <r>
    <d v="2021-02-16T00:00:00"/>
    <s v="Phone"/>
    <n v="40"/>
    <m/>
    <x v="12"/>
    <x v="2"/>
    <x v="1"/>
    <x v="1"/>
    <x v="1"/>
    <n v="-40"/>
    <x v="1"/>
  </r>
  <r>
    <d v="2021-02-17T00:00:00"/>
    <s v="Sallah give away"/>
    <n v="45.9"/>
    <m/>
    <x v="13"/>
    <x v="4"/>
    <x v="1"/>
    <x v="1"/>
    <x v="2"/>
    <n v="-45.9"/>
    <x v="1"/>
  </r>
  <r>
    <d v="2021-02-17T00:00:00"/>
    <s v="Online streaming"/>
    <n v="35"/>
    <m/>
    <x v="6"/>
    <x v="4"/>
    <x v="1"/>
    <x v="1"/>
    <x v="2"/>
    <n v="-35"/>
    <x v="1"/>
  </r>
  <r>
    <d v="2021-02-17T00:00:00"/>
    <s v="Drink"/>
    <n v="5"/>
    <m/>
    <x v="1"/>
    <x v="1"/>
    <x v="1"/>
    <x v="1"/>
    <x v="2"/>
    <n v="-5"/>
    <x v="1"/>
  </r>
  <r>
    <d v="2021-02-18T00:00:00"/>
    <s v="Drink"/>
    <n v="5"/>
    <m/>
    <x v="1"/>
    <x v="1"/>
    <x v="1"/>
    <x v="1"/>
    <x v="3"/>
    <n v="-5"/>
    <x v="1"/>
  </r>
  <r>
    <d v="2021-02-19T00:00:00"/>
    <s v="Drink"/>
    <n v="5"/>
    <m/>
    <x v="1"/>
    <x v="1"/>
    <x v="1"/>
    <x v="1"/>
    <x v="4"/>
    <n v="-5"/>
    <x v="1"/>
  </r>
  <r>
    <d v="2021-02-19T00:00:00"/>
    <s v="Green's"/>
    <n v="171"/>
    <m/>
    <x v="4"/>
    <x v="2"/>
    <x v="1"/>
    <x v="1"/>
    <x v="4"/>
    <n v="-171"/>
    <x v="1"/>
  </r>
  <r>
    <d v="2021-02-20T00:00:00"/>
    <s v="Suya"/>
    <n v="37.9"/>
    <m/>
    <x v="8"/>
    <x v="1"/>
    <x v="1"/>
    <x v="1"/>
    <x v="5"/>
    <n v="-37.9"/>
    <x v="1"/>
  </r>
  <r>
    <d v="2021-02-21T00:00:00"/>
    <s v="Oha soup/White soup"/>
    <n v="12.9"/>
    <m/>
    <x v="8"/>
    <x v="1"/>
    <x v="1"/>
    <x v="1"/>
    <x v="6"/>
    <n v="-12.9"/>
    <x v="1"/>
  </r>
  <r>
    <d v="2021-02-22T00:00:00"/>
    <s v="Orphanage"/>
    <n v="55"/>
    <m/>
    <x v="14"/>
    <x v="6"/>
    <x v="1"/>
    <x v="1"/>
    <x v="0"/>
    <n v="-55"/>
    <x v="1"/>
  </r>
  <r>
    <d v="2021-02-22T00:00:00"/>
    <s v="Fuel"/>
    <n v="64.099999999999994"/>
    <m/>
    <x v="15"/>
    <x v="3"/>
    <x v="1"/>
    <x v="1"/>
    <x v="0"/>
    <n v="-64.099999999999994"/>
    <x v="1"/>
  </r>
  <r>
    <d v="2021-02-22T00:00:00"/>
    <s v="Drink"/>
    <n v="5"/>
    <m/>
    <x v="1"/>
    <x v="1"/>
    <x v="1"/>
    <x v="1"/>
    <x v="0"/>
    <n v="-5"/>
    <x v="1"/>
  </r>
  <r>
    <d v="2021-02-23T00:00:00"/>
    <s v="Drink"/>
    <n v="5"/>
    <m/>
    <x v="1"/>
    <x v="1"/>
    <x v="1"/>
    <x v="1"/>
    <x v="1"/>
    <n v="-5"/>
    <x v="1"/>
  </r>
  <r>
    <d v="2021-02-24T00:00:00"/>
    <s v="Drink"/>
    <n v="5"/>
    <m/>
    <x v="1"/>
    <x v="1"/>
    <x v="1"/>
    <x v="1"/>
    <x v="2"/>
    <n v="-5"/>
    <x v="1"/>
  </r>
  <r>
    <d v="2021-02-25T00:00:00"/>
    <s v="Drink"/>
    <n v="5"/>
    <m/>
    <x v="1"/>
    <x v="1"/>
    <x v="1"/>
    <x v="1"/>
    <x v="3"/>
    <n v="-5"/>
    <x v="1"/>
  </r>
  <r>
    <d v="2021-02-26T00:00:00"/>
    <s v="Drink"/>
    <n v="5"/>
    <m/>
    <x v="1"/>
    <x v="1"/>
    <x v="1"/>
    <x v="1"/>
    <x v="4"/>
    <n v="-5"/>
    <x v="1"/>
  </r>
  <r>
    <d v="2021-02-26T00:00:00"/>
    <s v="Green's"/>
    <n v="162.9"/>
    <m/>
    <x v="4"/>
    <x v="2"/>
    <x v="1"/>
    <x v="1"/>
    <x v="4"/>
    <n v="-162.9"/>
    <x v="1"/>
  </r>
  <r>
    <d v="2021-02-27T00:00:00"/>
    <s v="Trainers"/>
    <n v="125.9"/>
    <m/>
    <x v="7"/>
    <x v="4"/>
    <x v="1"/>
    <x v="1"/>
    <x v="5"/>
    <n v="-125.9"/>
    <x v="1"/>
  </r>
  <r>
    <d v="2021-02-27T00:00:00"/>
    <s v="Global Fashion"/>
    <n v="137"/>
    <m/>
    <x v="7"/>
    <x v="4"/>
    <x v="1"/>
    <x v="1"/>
    <x v="5"/>
    <n v="-137"/>
    <x v="1"/>
  </r>
  <r>
    <d v="2021-02-28T00:00:00"/>
    <s v="Fashionistas"/>
    <n v="146.1"/>
    <m/>
    <x v="7"/>
    <x v="4"/>
    <x v="1"/>
    <x v="1"/>
    <x v="6"/>
    <n v="-146.1"/>
    <x v="1"/>
  </r>
  <r>
    <d v="2021-02-28T00:00:00"/>
    <s v="Uba"/>
    <n v="24.1"/>
    <m/>
    <x v="9"/>
    <x v="3"/>
    <x v="1"/>
    <x v="1"/>
    <x v="6"/>
    <n v="-24.1"/>
    <x v="1"/>
  </r>
  <r>
    <d v="2021-03-01T00:00:00"/>
    <s v="Data With Decision"/>
    <m/>
    <n v="5000"/>
    <x v="0"/>
    <x v="0"/>
    <x v="0"/>
    <x v="2"/>
    <x v="0"/>
    <n v="5000"/>
    <x v="2"/>
  </r>
  <r>
    <d v="2021-03-01T00:00:00"/>
    <s v="Drink"/>
    <n v="5"/>
    <m/>
    <x v="1"/>
    <x v="1"/>
    <x v="1"/>
    <x v="2"/>
    <x v="0"/>
    <n v="-5"/>
    <x v="2"/>
  </r>
  <r>
    <d v="2021-03-02T00:00:00"/>
    <s v="Estate Mangement"/>
    <n v="900"/>
    <m/>
    <x v="2"/>
    <x v="2"/>
    <x v="1"/>
    <x v="2"/>
    <x v="1"/>
    <n v="-900"/>
    <x v="2"/>
  </r>
  <r>
    <d v="2021-03-02T00:00:00"/>
    <s v="Financail upgrade"/>
    <n v="150"/>
    <m/>
    <x v="3"/>
    <x v="3"/>
    <x v="1"/>
    <x v="2"/>
    <x v="1"/>
    <n v="-150"/>
    <x v="2"/>
  </r>
  <r>
    <d v="2021-03-02T00:00:00"/>
    <s v="Drink"/>
    <n v="5"/>
    <m/>
    <x v="1"/>
    <x v="1"/>
    <x v="1"/>
    <x v="2"/>
    <x v="1"/>
    <n v="-5"/>
    <x v="2"/>
  </r>
  <r>
    <d v="2021-03-03T00:00:00"/>
    <s v="Drink"/>
    <n v="5"/>
    <m/>
    <x v="1"/>
    <x v="1"/>
    <x v="1"/>
    <x v="2"/>
    <x v="2"/>
    <n v="-5"/>
    <x v="2"/>
  </r>
  <r>
    <d v="2021-03-04T00:00:00"/>
    <s v="Drink"/>
    <n v="5"/>
    <m/>
    <x v="1"/>
    <x v="1"/>
    <x v="1"/>
    <x v="2"/>
    <x v="3"/>
    <n v="-5"/>
    <x v="2"/>
  </r>
  <r>
    <d v="2021-03-05T00:00:00"/>
    <s v="Drink"/>
    <n v="5"/>
    <m/>
    <x v="1"/>
    <x v="1"/>
    <x v="1"/>
    <x v="2"/>
    <x v="4"/>
    <n v="-5"/>
    <x v="2"/>
  </r>
  <r>
    <d v="2021-03-05T00:00:00"/>
    <s v="Green's"/>
    <n v="149"/>
    <m/>
    <x v="4"/>
    <x v="2"/>
    <x v="1"/>
    <x v="2"/>
    <x v="4"/>
    <n v="-149"/>
    <x v="2"/>
  </r>
  <r>
    <d v="2021-03-08T00:00:00"/>
    <s v="Power source"/>
    <n v="52.1"/>
    <m/>
    <x v="5"/>
    <x v="2"/>
    <x v="1"/>
    <x v="2"/>
    <x v="0"/>
    <n v="-52.1"/>
    <x v="2"/>
  </r>
  <r>
    <d v="2021-03-08T00:00:00"/>
    <s v="Drink"/>
    <n v="5"/>
    <m/>
    <x v="1"/>
    <x v="1"/>
    <x v="1"/>
    <x v="2"/>
    <x v="0"/>
    <n v="-5"/>
    <x v="2"/>
  </r>
  <r>
    <d v="2021-03-09T00:00:00"/>
    <s v="Drink"/>
    <n v="5"/>
    <m/>
    <x v="1"/>
    <x v="1"/>
    <x v="1"/>
    <x v="2"/>
    <x v="1"/>
    <n v="-5"/>
    <x v="2"/>
  </r>
  <r>
    <d v="2021-03-10T00:00:00"/>
    <s v="Fuel"/>
    <n v="78.900000000000006"/>
    <m/>
    <x v="15"/>
    <x v="3"/>
    <x v="1"/>
    <x v="2"/>
    <x v="2"/>
    <n v="-78.900000000000006"/>
    <x v="2"/>
  </r>
  <r>
    <d v="2021-03-10T00:00:00"/>
    <s v="Drink"/>
    <n v="5"/>
    <m/>
    <x v="1"/>
    <x v="1"/>
    <x v="1"/>
    <x v="2"/>
    <x v="2"/>
    <n v="-5"/>
    <x v="2"/>
  </r>
  <r>
    <d v="2021-03-11T00:00:00"/>
    <s v="Drink"/>
    <n v="5"/>
    <m/>
    <x v="1"/>
    <x v="1"/>
    <x v="1"/>
    <x v="2"/>
    <x v="3"/>
    <n v="-5"/>
    <x v="2"/>
  </r>
  <r>
    <d v="2021-03-12T00:00:00"/>
    <s v="Green's"/>
    <n v="137"/>
    <m/>
    <x v="4"/>
    <x v="2"/>
    <x v="1"/>
    <x v="2"/>
    <x v="4"/>
    <n v="-137"/>
    <x v="2"/>
  </r>
  <r>
    <d v="2021-03-12T00:00:00"/>
    <s v="Drink"/>
    <n v="5"/>
    <m/>
    <x v="1"/>
    <x v="1"/>
    <x v="1"/>
    <x v="2"/>
    <x v="4"/>
    <n v="-5"/>
    <x v="2"/>
  </r>
  <r>
    <d v="2021-03-13T00:00:00"/>
    <s v="Drink"/>
    <n v="5"/>
    <m/>
    <x v="1"/>
    <x v="1"/>
    <x v="1"/>
    <x v="2"/>
    <x v="5"/>
    <n v="-5"/>
    <x v="2"/>
  </r>
  <r>
    <d v="2021-03-13T00:00:00"/>
    <s v="Cinemas"/>
    <n v="41.8"/>
    <m/>
    <x v="6"/>
    <x v="4"/>
    <x v="1"/>
    <x v="2"/>
    <x v="5"/>
    <n v="-41.8"/>
    <x v="2"/>
  </r>
  <r>
    <d v="2021-03-13T00:00:00"/>
    <s v="Fashionistas"/>
    <n v="99.9"/>
    <m/>
    <x v="7"/>
    <x v="4"/>
    <x v="1"/>
    <x v="2"/>
    <x v="5"/>
    <n v="-99.9"/>
    <x v="2"/>
  </r>
  <r>
    <d v="2021-03-13T00:00:00"/>
    <s v="Burger"/>
    <n v="54"/>
    <m/>
    <x v="8"/>
    <x v="1"/>
    <x v="1"/>
    <x v="2"/>
    <x v="5"/>
    <n v="-54"/>
    <x v="2"/>
  </r>
  <r>
    <d v="2021-03-14T00:00:00"/>
    <s v="Uba"/>
    <n v="30"/>
    <m/>
    <x v="9"/>
    <x v="3"/>
    <x v="1"/>
    <x v="2"/>
    <x v="6"/>
    <n v="-30"/>
    <x v="2"/>
  </r>
  <r>
    <d v="2021-03-15T00:00:00"/>
    <s v="Onlne earning"/>
    <m/>
    <n v="1000"/>
    <x v="10"/>
    <x v="5"/>
    <x v="0"/>
    <x v="2"/>
    <x v="0"/>
    <n v="1000"/>
    <x v="2"/>
  </r>
  <r>
    <d v="2021-03-15T00:00:00"/>
    <s v="Drink"/>
    <n v="5"/>
    <m/>
    <x v="1"/>
    <x v="1"/>
    <x v="1"/>
    <x v="2"/>
    <x v="0"/>
    <n v="-5"/>
    <x v="2"/>
  </r>
  <r>
    <d v="2021-03-16T00:00:00"/>
    <s v="Drink"/>
    <n v="5"/>
    <m/>
    <x v="1"/>
    <x v="1"/>
    <x v="1"/>
    <x v="2"/>
    <x v="1"/>
    <n v="-5"/>
    <x v="2"/>
  </r>
  <r>
    <d v="2021-03-16T00:00:00"/>
    <s v="Taken medication"/>
    <n v="75"/>
    <m/>
    <x v="16"/>
    <x v="7"/>
    <x v="1"/>
    <x v="2"/>
    <x v="1"/>
    <n v="-75"/>
    <x v="2"/>
  </r>
  <r>
    <d v="2021-03-16T00:00:00"/>
    <s v="Phone"/>
    <n v="40"/>
    <m/>
    <x v="12"/>
    <x v="2"/>
    <x v="1"/>
    <x v="2"/>
    <x v="1"/>
    <n v="-40"/>
    <x v="2"/>
  </r>
  <r>
    <d v="2021-03-17T00:00:00"/>
    <s v="Sallah give away"/>
    <n v="46.8"/>
    <m/>
    <x v="13"/>
    <x v="4"/>
    <x v="1"/>
    <x v="2"/>
    <x v="2"/>
    <n v="-46.8"/>
    <x v="2"/>
  </r>
  <r>
    <d v="2021-03-17T00:00:00"/>
    <s v="Online streaming"/>
    <n v="35"/>
    <m/>
    <x v="6"/>
    <x v="4"/>
    <x v="1"/>
    <x v="2"/>
    <x v="2"/>
    <n v="-35"/>
    <x v="2"/>
  </r>
  <r>
    <d v="2021-03-17T00:00:00"/>
    <s v="Drink"/>
    <n v="5"/>
    <m/>
    <x v="1"/>
    <x v="1"/>
    <x v="1"/>
    <x v="2"/>
    <x v="2"/>
    <n v="-5"/>
    <x v="2"/>
  </r>
  <r>
    <d v="2021-03-18T00:00:00"/>
    <s v="Drink"/>
    <n v="5"/>
    <m/>
    <x v="1"/>
    <x v="1"/>
    <x v="1"/>
    <x v="2"/>
    <x v="3"/>
    <n v="-5"/>
    <x v="2"/>
  </r>
  <r>
    <d v="2021-03-19T00:00:00"/>
    <s v="Drink"/>
    <n v="5"/>
    <m/>
    <x v="1"/>
    <x v="1"/>
    <x v="1"/>
    <x v="2"/>
    <x v="4"/>
    <n v="-5"/>
    <x v="2"/>
  </r>
  <r>
    <d v="2021-03-19T00:00:00"/>
    <s v="Green's"/>
    <n v="171.9"/>
    <m/>
    <x v="4"/>
    <x v="2"/>
    <x v="1"/>
    <x v="2"/>
    <x v="4"/>
    <n v="-171.9"/>
    <x v="2"/>
  </r>
  <r>
    <d v="2021-03-20T00:00:00"/>
    <s v="Suya"/>
    <n v="39"/>
    <m/>
    <x v="8"/>
    <x v="1"/>
    <x v="1"/>
    <x v="2"/>
    <x v="5"/>
    <n v="-39"/>
    <x v="2"/>
  </r>
  <r>
    <d v="2021-03-21T00:00:00"/>
    <s v="Oha soup/White soup"/>
    <n v="14"/>
    <m/>
    <x v="8"/>
    <x v="1"/>
    <x v="1"/>
    <x v="2"/>
    <x v="6"/>
    <n v="-14"/>
    <x v="2"/>
  </r>
  <r>
    <d v="2021-03-22T00:00:00"/>
    <s v="Orphanage"/>
    <n v="55"/>
    <m/>
    <x v="14"/>
    <x v="6"/>
    <x v="1"/>
    <x v="2"/>
    <x v="0"/>
    <n v="-55"/>
    <x v="2"/>
  </r>
  <r>
    <d v="2021-03-22T00:00:00"/>
    <s v="Fuel"/>
    <n v="65"/>
    <m/>
    <x v="15"/>
    <x v="3"/>
    <x v="1"/>
    <x v="2"/>
    <x v="0"/>
    <n v="-65"/>
    <x v="2"/>
  </r>
  <r>
    <d v="2021-03-22T00:00:00"/>
    <s v="Drink"/>
    <n v="5"/>
    <m/>
    <x v="1"/>
    <x v="1"/>
    <x v="1"/>
    <x v="2"/>
    <x v="0"/>
    <n v="-5"/>
    <x v="2"/>
  </r>
  <r>
    <d v="2021-03-23T00:00:00"/>
    <s v="Drink"/>
    <n v="5"/>
    <m/>
    <x v="1"/>
    <x v="1"/>
    <x v="1"/>
    <x v="2"/>
    <x v="1"/>
    <n v="-5"/>
    <x v="2"/>
  </r>
  <r>
    <d v="2021-03-24T00:00:00"/>
    <s v="Drink"/>
    <n v="5"/>
    <m/>
    <x v="1"/>
    <x v="1"/>
    <x v="1"/>
    <x v="2"/>
    <x v="2"/>
    <n v="-5"/>
    <x v="2"/>
  </r>
  <r>
    <d v="2021-03-25T00:00:00"/>
    <s v="Drink"/>
    <n v="5"/>
    <m/>
    <x v="1"/>
    <x v="1"/>
    <x v="1"/>
    <x v="2"/>
    <x v="3"/>
    <n v="-5"/>
    <x v="2"/>
  </r>
  <r>
    <d v="2021-03-26T00:00:00"/>
    <s v="Drink"/>
    <n v="5"/>
    <m/>
    <x v="1"/>
    <x v="1"/>
    <x v="1"/>
    <x v="2"/>
    <x v="4"/>
    <n v="-5"/>
    <x v="2"/>
  </r>
  <r>
    <d v="2021-03-26T00:00:00"/>
    <s v="Green's"/>
    <n v="209"/>
    <m/>
    <x v="4"/>
    <x v="2"/>
    <x v="1"/>
    <x v="2"/>
    <x v="4"/>
    <n v="-209"/>
    <x v="2"/>
  </r>
  <r>
    <d v="2021-03-27T00:00:00"/>
    <s v="Trainers"/>
    <n v="127"/>
    <m/>
    <x v="7"/>
    <x v="4"/>
    <x v="1"/>
    <x v="2"/>
    <x v="5"/>
    <n v="-127"/>
    <x v="2"/>
  </r>
  <r>
    <d v="2021-03-27T00:00:00"/>
    <s v="Sport ware"/>
    <n v="177.2"/>
    <m/>
    <x v="7"/>
    <x v="4"/>
    <x v="1"/>
    <x v="2"/>
    <x v="5"/>
    <n v="-177.2"/>
    <x v="2"/>
  </r>
  <r>
    <d v="2021-03-28T00:00:00"/>
    <s v="Fashionistas"/>
    <n v="147.1"/>
    <m/>
    <x v="7"/>
    <x v="4"/>
    <x v="1"/>
    <x v="2"/>
    <x v="6"/>
    <n v="-147.1"/>
    <x v="2"/>
  </r>
  <r>
    <d v="2021-03-28T00:00:00"/>
    <s v="Uba"/>
    <n v="25"/>
    <m/>
    <x v="9"/>
    <x v="3"/>
    <x v="1"/>
    <x v="2"/>
    <x v="6"/>
    <n v="-25"/>
    <x v="2"/>
  </r>
  <r>
    <d v="2021-03-29T00:00:00"/>
    <s v="Foodary"/>
    <n v="15"/>
    <m/>
    <x v="8"/>
    <x v="1"/>
    <x v="1"/>
    <x v="2"/>
    <x v="0"/>
    <n v="-15"/>
    <x v="2"/>
  </r>
  <r>
    <d v="2021-03-30T00:00:00"/>
    <s v="Drink"/>
    <n v="5"/>
    <m/>
    <x v="1"/>
    <x v="1"/>
    <x v="1"/>
    <x v="2"/>
    <x v="1"/>
    <n v="-5"/>
    <x v="2"/>
  </r>
  <r>
    <d v="2021-03-31T00:00:00"/>
    <s v="Drink"/>
    <n v="5"/>
    <m/>
    <x v="1"/>
    <x v="1"/>
    <x v="1"/>
    <x v="2"/>
    <x v="2"/>
    <n v="-5"/>
    <x v="2"/>
  </r>
  <r>
    <d v="2021-04-01T00:00:00"/>
    <s v="Data With Decision"/>
    <m/>
    <n v="5000"/>
    <x v="0"/>
    <x v="0"/>
    <x v="0"/>
    <x v="3"/>
    <x v="3"/>
    <n v="5000"/>
    <x v="3"/>
  </r>
  <r>
    <d v="2021-04-01T00:00:00"/>
    <s v="Drink"/>
    <n v="5"/>
    <m/>
    <x v="1"/>
    <x v="1"/>
    <x v="1"/>
    <x v="3"/>
    <x v="3"/>
    <n v="-5"/>
    <x v="3"/>
  </r>
  <r>
    <d v="2021-04-02T00:00:00"/>
    <s v="Estate Mangement"/>
    <n v="900"/>
    <m/>
    <x v="2"/>
    <x v="2"/>
    <x v="1"/>
    <x v="3"/>
    <x v="4"/>
    <n v="-900"/>
    <x v="3"/>
  </r>
  <r>
    <d v="2021-04-02T00:00:00"/>
    <s v="Financail upgrade"/>
    <n v="150"/>
    <m/>
    <x v="3"/>
    <x v="3"/>
    <x v="1"/>
    <x v="3"/>
    <x v="4"/>
    <n v="-150"/>
    <x v="3"/>
  </r>
  <r>
    <d v="2021-04-02T00:00:00"/>
    <s v="Drink"/>
    <n v="5"/>
    <m/>
    <x v="1"/>
    <x v="1"/>
    <x v="1"/>
    <x v="3"/>
    <x v="4"/>
    <n v="-5"/>
    <x v="3"/>
  </r>
  <r>
    <d v="2021-04-03T00:00:00"/>
    <s v="Drink"/>
    <n v="5"/>
    <m/>
    <x v="1"/>
    <x v="1"/>
    <x v="1"/>
    <x v="3"/>
    <x v="5"/>
    <n v="-5"/>
    <x v="3"/>
  </r>
  <r>
    <d v="2021-04-04T00:00:00"/>
    <s v="Drink"/>
    <n v="5"/>
    <m/>
    <x v="1"/>
    <x v="1"/>
    <x v="1"/>
    <x v="3"/>
    <x v="6"/>
    <n v="-5"/>
    <x v="3"/>
  </r>
  <r>
    <d v="2021-04-05T00:00:00"/>
    <s v="Drink"/>
    <n v="5"/>
    <m/>
    <x v="1"/>
    <x v="1"/>
    <x v="1"/>
    <x v="3"/>
    <x v="0"/>
    <n v="-5"/>
    <x v="3"/>
  </r>
  <r>
    <d v="2021-04-05T00:00:00"/>
    <s v="Green's"/>
    <n v="158.19999999999999"/>
    <m/>
    <x v="4"/>
    <x v="2"/>
    <x v="1"/>
    <x v="3"/>
    <x v="0"/>
    <n v="-158.19999999999999"/>
    <x v="3"/>
  </r>
  <r>
    <d v="2021-04-08T00:00:00"/>
    <s v="Power source"/>
    <n v="53.2"/>
    <m/>
    <x v="5"/>
    <x v="2"/>
    <x v="1"/>
    <x v="3"/>
    <x v="3"/>
    <n v="-53.2"/>
    <x v="3"/>
  </r>
  <r>
    <d v="2021-04-08T00:00:00"/>
    <s v="Drink"/>
    <n v="5"/>
    <m/>
    <x v="1"/>
    <x v="1"/>
    <x v="1"/>
    <x v="3"/>
    <x v="3"/>
    <n v="-5"/>
    <x v="3"/>
  </r>
  <r>
    <d v="2021-04-09T00:00:00"/>
    <s v="Drink"/>
    <n v="5"/>
    <m/>
    <x v="1"/>
    <x v="1"/>
    <x v="1"/>
    <x v="3"/>
    <x v="4"/>
    <n v="-5"/>
    <x v="3"/>
  </r>
  <r>
    <d v="2021-04-10T00:00:00"/>
    <s v="Fuel"/>
    <n v="79.900000000000006"/>
    <m/>
    <x v="15"/>
    <x v="3"/>
    <x v="1"/>
    <x v="3"/>
    <x v="5"/>
    <n v="-79.900000000000006"/>
    <x v="3"/>
  </r>
  <r>
    <d v="2021-04-10T00:00:00"/>
    <s v="Drink"/>
    <n v="5"/>
    <m/>
    <x v="1"/>
    <x v="1"/>
    <x v="1"/>
    <x v="3"/>
    <x v="5"/>
    <n v="-5"/>
    <x v="3"/>
  </r>
  <r>
    <d v="2021-04-11T00:00:00"/>
    <s v="Drink"/>
    <n v="5"/>
    <m/>
    <x v="1"/>
    <x v="1"/>
    <x v="1"/>
    <x v="3"/>
    <x v="6"/>
    <n v="-5"/>
    <x v="3"/>
  </r>
  <r>
    <d v="2021-04-12T00:00:00"/>
    <s v="Green's"/>
    <n v="98"/>
    <m/>
    <x v="4"/>
    <x v="2"/>
    <x v="1"/>
    <x v="3"/>
    <x v="0"/>
    <n v="-98"/>
    <x v="3"/>
  </r>
  <r>
    <d v="2021-04-12T00:00:00"/>
    <s v="Drink"/>
    <n v="5"/>
    <m/>
    <x v="1"/>
    <x v="1"/>
    <x v="1"/>
    <x v="3"/>
    <x v="0"/>
    <n v="-5"/>
    <x v="3"/>
  </r>
  <r>
    <d v="2021-04-13T00:00:00"/>
    <s v="Drink"/>
    <n v="5"/>
    <m/>
    <x v="1"/>
    <x v="1"/>
    <x v="1"/>
    <x v="3"/>
    <x v="1"/>
    <n v="-5"/>
    <x v="3"/>
  </r>
  <r>
    <d v="2021-04-13T00:00:00"/>
    <s v="Cinemas"/>
    <n v="42.8"/>
    <m/>
    <x v="6"/>
    <x v="4"/>
    <x v="1"/>
    <x v="3"/>
    <x v="1"/>
    <n v="-42.8"/>
    <x v="3"/>
  </r>
  <r>
    <d v="2021-04-13T00:00:00"/>
    <s v="Fashionistas"/>
    <n v="100.9"/>
    <m/>
    <x v="7"/>
    <x v="4"/>
    <x v="1"/>
    <x v="3"/>
    <x v="1"/>
    <n v="-100.9"/>
    <x v="3"/>
  </r>
  <r>
    <d v="2021-04-13T00:00:00"/>
    <s v="Burger"/>
    <n v="54.9"/>
    <m/>
    <x v="8"/>
    <x v="1"/>
    <x v="1"/>
    <x v="3"/>
    <x v="1"/>
    <n v="-54.9"/>
    <x v="3"/>
  </r>
  <r>
    <d v="2021-04-14T00:00:00"/>
    <s v="Uba"/>
    <n v="31"/>
    <m/>
    <x v="9"/>
    <x v="3"/>
    <x v="1"/>
    <x v="3"/>
    <x v="2"/>
    <n v="-31"/>
    <x v="3"/>
  </r>
  <r>
    <d v="2021-04-15T00:00:00"/>
    <s v="Onlne earning"/>
    <m/>
    <n v="2340"/>
    <x v="10"/>
    <x v="5"/>
    <x v="0"/>
    <x v="3"/>
    <x v="3"/>
    <n v="2340"/>
    <x v="3"/>
  </r>
  <r>
    <d v="2021-04-15T00:00:00"/>
    <s v="Drink"/>
    <n v="5"/>
    <m/>
    <x v="1"/>
    <x v="1"/>
    <x v="1"/>
    <x v="3"/>
    <x v="3"/>
    <n v="-5"/>
    <x v="3"/>
  </r>
  <r>
    <d v="2021-04-16T00:00:00"/>
    <s v="Drink"/>
    <n v="5"/>
    <m/>
    <x v="1"/>
    <x v="1"/>
    <x v="1"/>
    <x v="3"/>
    <x v="4"/>
    <n v="-5"/>
    <x v="3"/>
  </r>
  <r>
    <d v="2021-04-16T00:00:00"/>
    <s v="Phone"/>
    <n v="40"/>
    <m/>
    <x v="12"/>
    <x v="2"/>
    <x v="1"/>
    <x v="3"/>
    <x v="4"/>
    <n v="-40"/>
    <x v="3"/>
  </r>
  <r>
    <d v="2021-04-17T00:00:00"/>
    <s v="Sallah give away"/>
    <n v="47.9"/>
    <m/>
    <x v="13"/>
    <x v="4"/>
    <x v="1"/>
    <x v="3"/>
    <x v="5"/>
    <n v="-47.9"/>
    <x v="3"/>
  </r>
  <r>
    <d v="2021-04-17T00:00:00"/>
    <s v="Online streaming"/>
    <n v="35"/>
    <m/>
    <x v="6"/>
    <x v="4"/>
    <x v="1"/>
    <x v="3"/>
    <x v="5"/>
    <n v="-35"/>
    <x v="3"/>
  </r>
  <r>
    <d v="2021-04-17T00:00:00"/>
    <s v="Drink"/>
    <n v="5"/>
    <m/>
    <x v="1"/>
    <x v="1"/>
    <x v="1"/>
    <x v="3"/>
    <x v="5"/>
    <n v="-5"/>
    <x v="3"/>
  </r>
  <r>
    <d v="2021-04-18T00:00:00"/>
    <s v="Drink"/>
    <n v="5"/>
    <m/>
    <x v="1"/>
    <x v="1"/>
    <x v="1"/>
    <x v="3"/>
    <x v="6"/>
    <n v="-5"/>
    <x v="3"/>
  </r>
  <r>
    <d v="2021-04-19T00:00:00"/>
    <s v="Drink"/>
    <n v="5"/>
    <m/>
    <x v="1"/>
    <x v="1"/>
    <x v="1"/>
    <x v="3"/>
    <x v="0"/>
    <n v="-5"/>
    <x v="3"/>
  </r>
  <r>
    <d v="2021-04-19T00:00:00"/>
    <s v="Green's"/>
    <n v="173"/>
    <m/>
    <x v="4"/>
    <x v="2"/>
    <x v="1"/>
    <x v="3"/>
    <x v="0"/>
    <n v="-173"/>
    <x v="3"/>
  </r>
  <r>
    <d v="2021-04-20T00:00:00"/>
    <s v="Suya"/>
    <n v="40.1"/>
    <m/>
    <x v="8"/>
    <x v="1"/>
    <x v="1"/>
    <x v="3"/>
    <x v="1"/>
    <n v="-40.1"/>
    <x v="3"/>
  </r>
  <r>
    <d v="2021-04-21T00:00:00"/>
    <s v="Oha soup/White soup"/>
    <n v="15.1"/>
    <m/>
    <x v="8"/>
    <x v="1"/>
    <x v="1"/>
    <x v="3"/>
    <x v="2"/>
    <n v="-15.1"/>
    <x v="3"/>
  </r>
  <r>
    <d v="2021-04-22T00:00:00"/>
    <s v="Orphanage"/>
    <n v="55"/>
    <m/>
    <x v="14"/>
    <x v="6"/>
    <x v="1"/>
    <x v="3"/>
    <x v="3"/>
    <n v="-55"/>
    <x v="3"/>
  </r>
  <r>
    <d v="2021-04-22T00:00:00"/>
    <s v="Fuel"/>
    <n v="66"/>
    <m/>
    <x v="15"/>
    <x v="3"/>
    <x v="1"/>
    <x v="3"/>
    <x v="3"/>
    <n v="-66"/>
    <x v="3"/>
  </r>
  <r>
    <d v="2021-04-22T00:00:00"/>
    <s v="Drink"/>
    <n v="5"/>
    <m/>
    <x v="1"/>
    <x v="1"/>
    <x v="1"/>
    <x v="3"/>
    <x v="3"/>
    <n v="-5"/>
    <x v="3"/>
  </r>
  <r>
    <d v="2021-04-23T00:00:00"/>
    <s v="Drink"/>
    <n v="5"/>
    <m/>
    <x v="1"/>
    <x v="1"/>
    <x v="1"/>
    <x v="3"/>
    <x v="4"/>
    <n v="-5"/>
    <x v="3"/>
  </r>
  <r>
    <d v="2021-04-24T00:00:00"/>
    <s v="Drink"/>
    <n v="5"/>
    <m/>
    <x v="1"/>
    <x v="1"/>
    <x v="1"/>
    <x v="3"/>
    <x v="5"/>
    <n v="-5"/>
    <x v="3"/>
  </r>
  <r>
    <d v="2021-04-25T00:00:00"/>
    <s v="Drink"/>
    <n v="5"/>
    <m/>
    <x v="1"/>
    <x v="1"/>
    <x v="1"/>
    <x v="3"/>
    <x v="6"/>
    <n v="-5"/>
    <x v="3"/>
  </r>
  <r>
    <d v="2021-04-26T00:00:00"/>
    <s v="Drink"/>
    <n v="5"/>
    <m/>
    <x v="1"/>
    <x v="1"/>
    <x v="1"/>
    <x v="3"/>
    <x v="0"/>
    <n v="-5"/>
    <x v="3"/>
  </r>
  <r>
    <d v="2021-04-26T00:00:00"/>
    <s v="Green's"/>
    <n v="164.9"/>
    <m/>
    <x v="4"/>
    <x v="2"/>
    <x v="1"/>
    <x v="3"/>
    <x v="0"/>
    <n v="-164.9"/>
    <x v="3"/>
  </r>
  <r>
    <d v="2021-04-27T00:00:00"/>
    <s v="Trainers"/>
    <n v="127.9"/>
    <m/>
    <x v="7"/>
    <x v="4"/>
    <x v="1"/>
    <x v="3"/>
    <x v="1"/>
    <n v="-127.9"/>
    <x v="3"/>
  </r>
  <r>
    <d v="2021-04-27T00:00:00"/>
    <s v="Clubing"/>
    <n v="300"/>
    <m/>
    <x v="6"/>
    <x v="4"/>
    <x v="1"/>
    <x v="3"/>
    <x v="1"/>
    <n v="-300"/>
    <x v="3"/>
  </r>
  <r>
    <d v="2021-04-28T00:00:00"/>
    <s v="Fashionistas"/>
    <n v="148.1"/>
    <m/>
    <x v="7"/>
    <x v="4"/>
    <x v="1"/>
    <x v="3"/>
    <x v="2"/>
    <n v="-148.1"/>
    <x v="3"/>
  </r>
  <r>
    <d v="2021-04-28T00:00:00"/>
    <s v="Uba"/>
    <n v="26.1"/>
    <m/>
    <x v="9"/>
    <x v="3"/>
    <x v="1"/>
    <x v="3"/>
    <x v="2"/>
    <n v="-26.1"/>
    <x v="3"/>
  </r>
  <r>
    <d v="2021-04-29T00:00:00"/>
    <s v="Foodary"/>
    <n v="15"/>
    <m/>
    <x v="8"/>
    <x v="1"/>
    <x v="1"/>
    <x v="3"/>
    <x v="3"/>
    <n v="-15"/>
    <x v="3"/>
  </r>
  <r>
    <d v="2021-04-29T00:00:00"/>
    <s v="Drink"/>
    <n v="5"/>
    <m/>
    <x v="1"/>
    <x v="1"/>
    <x v="1"/>
    <x v="3"/>
    <x v="3"/>
    <n v="-5"/>
    <x v="3"/>
  </r>
  <r>
    <d v="2021-04-30T00:00:00"/>
    <s v="Drink"/>
    <n v="5"/>
    <m/>
    <x v="1"/>
    <x v="1"/>
    <x v="1"/>
    <x v="3"/>
    <x v="4"/>
    <n v="-5"/>
    <x v="3"/>
  </r>
  <r>
    <d v="2021-05-02T00:00:00"/>
    <s v="Drink"/>
    <n v="5"/>
    <m/>
    <x v="1"/>
    <x v="1"/>
    <x v="1"/>
    <x v="4"/>
    <x v="6"/>
    <n v="-5"/>
    <x v="4"/>
  </r>
  <r>
    <d v="2021-05-03T00:00:00"/>
    <s v="Data With Decision"/>
    <m/>
    <n v="5000"/>
    <x v="0"/>
    <x v="0"/>
    <x v="0"/>
    <x v="4"/>
    <x v="0"/>
    <n v="5000"/>
    <x v="4"/>
  </r>
  <r>
    <d v="2021-05-03T00:00:00"/>
    <s v="Estate Mangement"/>
    <n v="900"/>
    <m/>
    <x v="2"/>
    <x v="2"/>
    <x v="1"/>
    <x v="4"/>
    <x v="0"/>
    <n v="-900"/>
    <x v="4"/>
  </r>
  <r>
    <d v="2021-05-03T00:00:00"/>
    <s v="Financail upgrade"/>
    <n v="150"/>
    <m/>
    <x v="3"/>
    <x v="3"/>
    <x v="1"/>
    <x v="4"/>
    <x v="0"/>
    <n v="-150"/>
    <x v="4"/>
  </r>
  <r>
    <d v="2021-05-03T00:00:00"/>
    <s v="Drink"/>
    <n v="5"/>
    <m/>
    <x v="1"/>
    <x v="1"/>
    <x v="1"/>
    <x v="4"/>
    <x v="0"/>
    <n v="-5"/>
    <x v="4"/>
  </r>
  <r>
    <d v="2021-05-04T00:00:00"/>
    <s v="Drink"/>
    <n v="5"/>
    <m/>
    <x v="1"/>
    <x v="1"/>
    <x v="1"/>
    <x v="4"/>
    <x v="1"/>
    <n v="-5"/>
    <x v="4"/>
  </r>
  <r>
    <d v="2021-05-05T00:00:00"/>
    <s v="Drink"/>
    <n v="5"/>
    <m/>
    <x v="1"/>
    <x v="1"/>
    <x v="1"/>
    <x v="4"/>
    <x v="2"/>
    <n v="-5"/>
    <x v="4"/>
  </r>
  <r>
    <d v="2021-05-06T00:00:00"/>
    <s v="Drink"/>
    <n v="5"/>
    <m/>
    <x v="1"/>
    <x v="1"/>
    <x v="1"/>
    <x v="4"/>
    <x v="3"/>
    <n v="-5"/>
    <x v="4"/>
  </r>
  <r>
    <d v="2021-05-06T00:00:00"/>
    <s v="Green's"/>
    <n v="170"/>
    <m/>
    <x v="4"/>
    <x v="2"/>
    <x v="1"/>
    <x v="4"/>
    <x v="3"/>
    <n v="-170"/>
    <x v="4"/>
  </r>
  <r>
    <d v="2021-05-09T00:00:00"/>
    <s v="Power source"/>
    <n v="54.1"/>
    <m/>
    <x v="5"/>
    <x v="2"/>
    <x v="1"/>
    <x v="4"/>
    <x v="6"/>
    <n v="-54.1"/>
    <x v="4"/>
  </r>
  <r>
    <d v="2021-05-09T00:00:00"/>
    <s v="Drink"/>
    <n v="5"/>
    <m/>
    <x v="1"/>
    <x v="1"/>
    <x v="1"/>
    <x v="4"/>
    <x v="6"/>
    <n v="-5"/>
    <x v="4"/>
  </r>
  <r>
    <d v="2021-05-10T00:00:00"/>
    <s v="Drink"/>
    <n v="5"/>
    <m/>
    <x v="1"/>
    <x v="1"/>
    <x v="1"/>
    <x v="4"/>
    <x v="0"/>
    <n v="-5"/>
    <x v="4"/>
  </r>
  <r>
    <d v="2021-05-11T00:00:00"/>
    <s v="Fuel"/>
    <n v="81"/>
    <m/>
    <x v="15"/>
    <x v="3"/>
    <x v="1"/>
    <x v="4"/>
    <x v="1"/>
    <n v="-81"/>
    <x v="4"/>
  </r>
  <r>
    <d v="2021-05-11T00:00:00"/>
    <s v="Drink"/>
    <n v="5"/>
    <m/>
    <x v="1"/>
    <x v="1"/>
    <x v="1"/>
    <x v="4"/>
    <x v="1"/>
    <n v="-5"/>
    <x v="4"/>
  </r>
  <r>
    <d v="2021-05-12T00:00:00"/>
    <s v="Drink"/>
    <n v="5"/>
    <m/>
    <x v="1"/>
    <x v="1"/>
    <x v="1"/>
    <x v="4"/>
    <x v="2"/>
    <n v="-5"/>
    <x v="4"/>
  </r>
  <r>
    <d v="2021-05-13T00:00:00"/>
    <s v="Green's"/>
    <n v="139.1"/>
    <m/>
    <x v="4"/>
    <x v="2"/>
    <x v="1"/>
    <x v="4"/>
    <x v="3"/>
    <n v="-139.1"/>
    <x v="4"/>
  </r>
  <r>
    <d v="2021-05-13T00:00:00"/>
    <s v="Drink"/>
    <n v="5"/>
    <m/>
    <x v="1"/>
    <x v="1"/>
    <x v="1"/>
    <x v="4"/>
    <x v="3"/>
    <n v="-5"/>
    <x v="4"/>
  </r>
  <r>
    <d v="2021-05-14T00:00:00"/>
    <s v="Drink"/>
    <n v="5"/>
    <m/>
    <x v="1"/>
    <x v="1"/>
    <x v="1"/>
    <x v="4"/>
    <x v="4"/>
    <n v="-5"/>
    <x v="4"/>
  </r>
  <r>
    <d v="2021-05-14T00:00:00"/>
    <s v="Cinemas"/>
    <n v="43.9"/>
    <m/>
    <x v="6"/>
    <x v="4"/>
    <x v="1"/>
    <x v="4"/>
    <x v="4"/>
    <n v="-43.9"/>
    <x v="4"/>
  </r>
  <r>
    <d v="2021-05-14T00:00:00"/>
    <s v="Fashionistas"/>
    <n v="101.80000000000001"/>
    <m/>
    <x v="7"/>
    <x v="4"/>
    <x v="1"/>
    <x v="4"/>
    <x v="4"/>
    <n v="-101.80000000000001"/>
    <x v="4"/>
  </r>
  <r>
    <d v="2021-05-14T00:00:00"/>
    <s v="Burger"/>
    <n v="55.9"/>
    <m/>
    <x v="8"/>
    <x v="1"/>
    <x v="1"/>
    <x v="4"/>
    <x v="4"/>
    <n v="-55.9"/>
    <x v="4"/>
  </r>
  <r>
    <d v="2021-05-15T00:00:00"/>
    <s v="Uba"/>
    <n v="32"/>
    <m/>
    <x v="9"/>
    <x v="3"/>
    <x v="1"/>
    <x v="4"/>
    <x v="5"/>
    <n v="-32"/>
    <x v="4"/>
  </r>
  <r>
    <d v="2021-05-16T00:00:00"/>
    <s v="Onlne earning"/>
    <m/>
    <n v="1000"/>
    <x v="10"/>
    <x v="5"/>
    <x v="0"/>
    <x v="4"/>
    <x v="6"/>
    <n v="1000"/>
    <x v="4"/>
  </r>
  <r>
    <d v="2021-05-16T00:00:00"/>
    <s v="Drink"/>
    <n v="5"/>
    <m/>
    <x v="1"/>
    <x v="1"/>
    <x v="1"/>
    <x v="4"/>
    <x v="6"/>
    <n v="-5"/>
    <x v="4"/>
  </r>
  <r>
    <d v="2021-05-17T00:00:00"/>
    <s v="Drink"/>
    <n v="5"/>
    <m/>
    <x v="1"/>
    <x v="1"/>
    <x v="1"/>
    <x v="4"/>
    <x v="0"/>
    <n v="-5"/>
    <x v="4"/>
  </r>
  <r>
    <d v="2021-05-17T00:00:00"/>
    <s v="Taken medication"/>
    <n v="75"/>
    <m/>
    <x v="16"/>
    <x v="7"/>
    <x v="1"/>
    <x v="4"/>
    <x v="0"/>
    <n v="-75"/>
    <x v="4"/>
  </r>
  <r>
    <d v="2021-05-17T00:00:00"/>
    <s v="Phone"/>
    <n v="40"/>
    <m/>
    <x v="12"/>
    <x v="2"/>
    <x v="1"/>
    <x v="4"/>
    <x v="0"/>
    <n v="-40"/>
    <x v="4"/>
  </r>
  <r>
    <d v="2021-05-18T00:00:00"/>
    <s v="Sallah give away"/>
    <n v="49"/>
    <m/>
    <x v="13"/>
    <x v="4"/>
    <x v="1"/>
    <x v="4"/>
    <x v="1"/>
    <n v="-49"/>
    <x v="4"/>
  </r>
  <r>
    <d v="2021-05-18T00:00:00"/>
    <s v="Online streaming"/>
    <n v="35"/>
    <m/>
    <x v="6"/>
    <x v="4"/>
    <x v="1"/>
    <x v="4"/>
    <x v="1"/>
    <n v="-35"/>
    <x v="4"/>
  </r>
  <r>
    <d v="2021-05-18T00:00:00"/>
    <s v="Drink"/>
    <n v="5"/>
    <m/>
    <x v="1"/>
    <x v="1"/>
    <x v="1"/>
    <x v="4"/>
    <x v="1"/>
    <n v="-5"/>
    <x v="4"/>
  </r>
  <r>
    <d v="2021-05-19T00:00:00"/>
    <s v="Drink"/>
    <n v="5"/>
    <m/>
    <x v="1"/>
    <x v="1"/>
    <x v="1"/>
    <x v="4"/>
    <x v="2"/>
    <n v="-5"/>
    <x v="4"/>
  </r>
  <r>
    <d v="2021-05-20T00:00:00"/>
    <s v="Drink"/>
    <n v="5"/>
    <m/>
    <x v="1"/>
    <x v="1"/>
    <x v="1"/>
    <x v="4"/>
    <x v="3"/>
    <n v="-5"/>
    <x v="4"/>
  </r>
  <r>
    <d v="2021-05-20T00:00:00"/>
    <s v="Green's"/>
    <n v="174"/>
    <m/>
    <x v="4"/>
    <x v="2"/>
    <x v="1"/>
    <x v="4"/>
    <x v="3"/>
    <n v="-174"/>
    <x v="4"/>
  </r>
  <r>
    <d v="2021-05-21T00:00:00"/>
    <s v="Suya"/>
    <n v="41.1"/>
    <m/>
    <x v="8"/>
    <x v="1"/>
    <x v="1"/>
    <x v="4"/>
    <x v="4"/>
    <n v="-41.1"/>
    <x v="4"/>
  </r>
  <r>
    <d v="2021-05-22T00:00:00"/>
    <s v="Oha soup/White soup"/>
    <n v="16.2"/>
    <m/>
    <x v="8"/>
    <x v="1"/>
    <x v="1"/>
    <x v="4"/>
    <x v="5"/>
    <n v="-16.2"/>
    <x v="4"/>
  </r>
  <r>
    <d v="2021-05-23T00:00:00"/>
    <s v="Orphanage"/>
    <n v="55"/>
    <m/>
    <x v="14"/>
    <x v="6"/>
    <x v="1"/>
    <x v="4"/>
    <x v="6"/>
    <n v="-55"/>
    <x v="4"/>
  </r>
  <r>
    <d v="2021-05-23T00:00:00"/>
    <s v="Fuel"/>
    <n v="67"/>
    <m/>
    <x v="15"/>
    <x v="3"/>
    <x v="1"/>
    <x v="4"/>
    <x v="6"/>
    <n v="-67"/>
    <x v="4"/>
  </r>
  <r>
    <d v="2021-05-23T00:00:00"/>
    <s v="Drink"/>
    <n v="5"/>
    <m/>
    <x v="1"/>
    <x v="1"/>
    <x v="1"/>
    <x v="4"/>
    <x v="6"/>
    <n v="-5"/>
    <x v="4"/>
  </r>
  <r>
    <d v="2021-05-24T00:00:00"/>
    <s v="Drink"/>
    <n v="5"/>
    <m/>
    <x v="1"/>
    <x v="1"/>
    <x v="1"/>
    <x v="4"/>
    <x v="0"/>
    <n v="-5"/>
    <x v="4"/>
  </r>
  <r>
    <d v="2021-05-25T00:00:00"/>
    <s v="Drink"/>
    <n v="5"/>
    <m/>
    <x v="1"/>
    <x v="1"/>
    <x v="1"/>
    <x v="4"/>
    <x v="1"/>
    <n v="-5"/>
    <x v="4"/>
  </r>
  <r>
    <d v="2021-05-26T00:00:00"/>
    <s v="Drink"/>
    <n v="5"/>
    <m/>
    <x v="1"/>
    <x v="1"/>
    <x v="1"/>
    <x v="4"/>
    <x v="2"/>
    <n v="-5"/>
    <x v="4"/>
  </r>
  <r>
    <d v="2021-05-27T00:00:00"/>
    <s v="Drink"/>
    <n v="5"/>
    <m/>
    <x v="1"/>
    <x v="1"/>
    <x v="1"/>
    <x v="4"/>
    <x v="3"/>
    <n v="-5"/>
    <x v="4"/>
  </r>
  <r>
    <d v="2021-05-27T00:00:00"/>
    <s v="Green's"/>
    <n v="165.8"/>
    <m/>
    <x v="4"/>
    <x v="2"/>
    <x v="1"/>
    <x v="4"/>
    <x v="3"/>
    <n v="-165.8"/>
    <x v="4"/>
  </r>
  <r>
    <d v="2021-05-28T00:00:00"/>
    <s v="Trainers"/>
    <n v="128.80000000000001"/>
    <m/>
    <x v="7"/>
    <x v="4"/>
    <x v="1"/>
    <x v="4"/>
    <x v="4"/>
    <n v="-128.80000000000001"/>
    <x v="4"/>
  </r>
  <r>
    <d v="2021-05-28T00:00:00"/>
    <s v="Home décor"/>
    <n v="235"/>
    <m/>
    <x v="17"/>
    <x v="4"/>
    <x v="1"/>
    <x v="4"/>
    <x v="4"/>
    <n v="-235"/>
    <x v="4"/>
  </r>
  <r>
    <d v="2021-05-29T00:00:00"/>
    <s v="Fashionistas"/>
    <n v="149.19999999999999"/>
    <m/>
    <x v="7"/>
    <x v="4"/>
    <x v="1"/>
    <x v="4"/>
    <x v="5"/>
    <n v="-149.19999999999999"/>
    <x v="4"/>
  </r>
  <r>
    <d v="2021-05-29T00:00:00"/>
    <s v="Uba"/>
    <n v="27.200000000000003"/>
    <m/>
    <x v="9"/>
    <x v="3"/>
    <x v="1"/>
    <x v="4"/>
    <x v="5"/>
    <n v="-27.200000000000003"/>
    <x v="4"/>
  </r>
  <r>
    <d v="2021-05-31T00:00:00"/>
    <s v="Foodary"/>
    <n v="15"/>
    <m/>
    <x v="8"/>
    <x v="1"/>
    <x v="1"/>
    <x v="4"/>
    <x v="0"/>
    <n v="-15"/>
    <x v="4"/>
  </r>
  <r>
    <d v="2021-05-30T00:00:00"/>
    <s v="Drink"/>
    <n v="5"/>
    <m/>
    <x v="1"/>
    <x v="1"/>
    <x v="1"/>
    <x v="4"/>
    <x v="6"/>
    <n v="-5"/>
    <x v="4"/>
  </r>
  <r>
    <d v="2021-05-31T00:00:00"/>
    <s v="Drink"/>
    <n v="5"/>
    <m/>
    <x v="1"/>
    <x v="1"/>
    <x v="1"/>
    <x v="4"/>
    <x v="0"/>
    <n v="-5"/>
    <x v="4"/>
  </r>
  <r>
    <d v="2021-06-01T00:00:00"/>
    <s v="Data With Decision"/>
    <m/>
    <n v="5000"/>
    <x v="0"/>
    <x v="0"/>
    <x v="0"/>
    <x v="5"/>
    <x v="1"/>
    <n v="5000"/>
    <x v="5"/>
  </r>
  <r>
    <d v="2021-06-03T00:00:00"/>
    <s v="Drink"/>
    <n v="5"/>
    <m/>
    <x v="1"/>
    <x v="1"/>
    <x v="1"/>
    <x v="5"/>
    <x v="3"/>
    <n v="-5"/>
    <x v="5"/>
  </r>
  <r>
    <d v="2021-06-03T00:00:00"/>
    <s v="Estate Mangement"/>
    <n v="900"/>
    <m/>
    <x v="2"/>
    <x v="2"/>
    <x v="1"/>
    <x v="5"/>
    <x v="3"/>
    <n v="-900"/>
    <x v="5"/>
  </r>
  <r>
    <d v="2021-06-03T00:00:00"/>
    <s v="Financail upgrade"/>
    <n v="150"/>
    <m/>
    <x v="3"/>
    <x v="3"/>
    <x v="1"/>
    <x v="5"/>
    <x v="3"/>
    <n v="-150"/>
    <x v="5"/>
  </r>
  <r>
    <d v="2021-06-03T00:00:00"/>
    <s v="Drink"/>
    <n v="5"/>
    <m/>
    <x v="1"/>
    <x v="1"/>
    <x v="1"/>
    <x v="5"/>
    <x v="3"/>
    <n v="-5"/>
    <x v="5"/>
  </r>
  <r>
    <d v="2021-06-04T00:00:00"/>
    <s v="Drink"/>
    <n v="5"/>
    <m/>
    <x v="1"/>
    <x v="1"/>
    <x v="1"/>
    <x v="5"/>
    <x v="4"/>
    <n v="-5"/>
    <x v="5"/>
  </r>
  <r>
    <d v="2021-06-05T00:00:00"/>
    <s v="Drink"/>
    <n v="5"/>
    <m/>
    <x v="1"/>
    <x v="1"/>
    <x v="1"/>
    <x v="5"/>
    <x v="5"/>
    <n v="-5"/>
    <x v="5"/>
  </r>
  <r>
    <d v="2021-06-06T00:00:00"/>
    <s v="Drink"/>
    <n v="5"/>
    <m/>
    <x v="1"/>
    <x v="1"/>
    <x v="1"/>
    <x v="5"/>
    <x v="6"/>
    <n v="-5"/>
    <x v="5"/>
  </r>
  <r>
    <d v="2021-06-06T00:00:00"/>
    <s v="Green's"/>
    <n v="119"/>
    <m/>
    <x v="4"/>
    <x v="2"/>
    <x v="1"/>
    <x v="5"/>
    <x v="6"/>
    <n v="-119"/>
    <x v="5"/>
  </r>
  <r>
    <d v="2021-06-09T00:00:00"/>
    <s v="Power source"/>
    <n v="55"/>
    <m/>
    <x v="5"/>
    <x v="2"/>
    <x v="1"/>
    <x v="5"/>
    <x v="2"/>
    <n v="-55"/>
    <x v="5"/>
  </r>
  <r>
    <d v="2021-06-09T00:00:00"/>
    <s v="Drink"/>
    <n v="5"/>
    <m/>
    <x v="1"/>
    <x v="1"/>
    <x v="1"/>
    <x v="5"/>
    <x v="2"/>
    <n v="-5"/>
    <x v="5"/>
  </r>
  <r>
    <d v="2021-06-10T00:00:00"/>
    <s v="Drink"/>
    <n v="5"/>
    <m/>
    <x v="1"/>
    <x v="1"/>
    <x v="1"/>
    <x v="5"/>
    <x v="3"/>
    <n v="-5"/>
    <x v="5"/>
  </r>
  <r>
    <d v="2021-06-11T00:00:00"/>
    <s v="Fuel"/>
    <n v="82.1"/>
    <m/>
    <x v="15"/>
    <x v="3"/>
    <x v="1"/>
    <x v="5"/>
    <x v="4"/>
    <n v="-82.1"/>
    <x v="5"/>
  </r>
  <r>
    <d v="2021-06-11T00:00:00"/>
    <s v="Drink"/>
    <n v="5"/>
    <m/>
    <x v="1"/>
    <x v="1"/>
    <x v="1"/>
    <x v="5"/>
    <x v="4"/>
    <n v="-5"/>
    <x v="5"/>
  </r>
  <r>
    <d v="2021-06-12T00:00:00"/>
    <s v="Drink"/>
    <n v="5"/>
    <m/>
    <x v="1"/>
    <x v="1"/>
    <x v="1"/>
    <x v="5"/>
    <x v="5"/>
    <n v="-5"/>
    <x v="5"/>
  </r>
  <r>
    <d v="2021-06-13T00:00:00"/>
    <s v="Green's"/>
    <n v="140.19999999999999"/>
    <m/>
    <x v="4"/>
    <x v="2"/>
    <x v="1"/>
    <x v="5"/>
    <x v="6"/>
    <n v="-140.19999999999999"/>
    <x v="5"/>
  </r>
  <r>
    <d v="2021-06-13T00:00:00"/>
    <s v="Drink"/>
    <n v="5"/>
    <m/>
    <x v="1"/>
    <x v="1"/>
    <x v="1"/>
    <x v="5"/>
    <x v="6"/>
    <n v="-5"/>
    <x v="5"/>
  </r>
  <r>
    <d v="2021-06-14T00:00:00"/>
    <s v="Drink"/>
    <n v="5"/>
    <m/>
    <x v="1"/>
    <x v="1"/>
    <x v="1"/>
    <x v="5"/>
    <x v="0"/>
    <n v="-5"/>
    <x v="5"/>
  </r>
  <r>
    <d v="2021-06-14T00:00:00"/>
    <s v="Cinemas"/>
    <n v="44.9"/>
    <m/>
    <x v="6"/>
    <x v="4"/>
    <x v="1"/>
    <x v="5"/>
    <x v="0"/>
    <n v="-44.9"/>
    <x v="5"/>
  </r>
  <r>
    <d v="2021-06-14T00:00:00"/>
    <s v="Fashionistas"/>
    <n v="102.9"/>
    <m/>
    <x v="7"/>
    <x v="4"/>
    <x v="1"/>
    <x v="5"/>
    <x v="0"/>
    <n v="-102.9"/>
    <x v="5"/>
  </r>
  <r>
    <d v="2021-06-14T00:00:00"/>
    <s v="Burger"/>
    <n v="56.9"/>
    <m/>
    <x v="8"/>
    <x v="1"/>
    <x v="1"/>
    <x v="5"/>
    <x v="0"/>
    <n v="-56.9"/>
    <x v="5"/>
  </r>
  <r>
    <d v="2021-06-15T00:00:00"/>
    <s v="Uba"/>
    <n v="33.1"/>
    <m/>
    <x v="9"/>
    <x v="3"/>
    <x v="1"/>
    <x v="5"/>
    <x v="1"/>
    <n v="-33.1"/>
    <x v="5"/>
  </r>
  <r>
    <d v="2021-06-16T00:00:00"/>
    <s v="Onlne earning"/>
    <m/>
    <n v="100"/>
    <x v="10"/>
    <x v="5"/>
    <x v="0"/>
    <x v="5"/>
    <x v="2"/>
    <n v="100"/>
    <x v="5"/>
  </r>
  <r>
    <d v="2021-06-16T00:00:00"/>
    <s v="Drink"/>
    <n v="5"/>
    <m/>
    <x v="1"/>
    <x v="1"/>
    <x v="1"/>
    <x v="5"/>
    <x v="2"/>
    <n v="-5"/>
    <x v="5"/>
  </r>
  <r>
    <d v="2021-06-17T00:00:00"/>
    <s v="Drink"/>
    <n v="5"/>
    <m/>
    <x v="1"/>
    <x v="1"/>
    <x v="1"/>
    <x v="5"/>
    <x v="3"/>
    <n v="-5"/>
    <x v="5"/>
  </r>
  <r>
    <d v="2021-06-17T00:00:00"/>
    <s v="Phone"/>
    <n v="40"/>
    <m/>
    <x v="12"/>
    <x v="2"/>
    <x v="1"/>
    <x v="5"/>
    <x v="3"/>
    <n v="-40"/>
    <x v="5"/>
  </r>
  <r>
    <d v="2021-06-18T00:00:00"/>
    <s v="Sallah give away"/>
    <n v="50.1"/>
    <m/>
    <x v="13"/>
    <x v="4"/>
    <x v="1"/>
    <x v="5"/>
    <x v="4"/>
    <n v="-50.1"/>
    <x v="5"/>
  </r>
  <r>
    <d v="2021-06-18T00:00:00"/>
    <s v="Online streaming"/>
    <n v="35"/>
    <m/>
    <x v="6"/>
    <x v="4"/>
    <x v="1"/>
    <x v="5"/>
    <x v="4"/>
    <n v="-35"/>
    <x v="5"/>
  </r>
  <r>
    <d v="2021-06-18T00:00:00"/>
    <s v="Drink"/>
    <n v="5"/>
    <m/>
    <x v="1"/>
    <x v="1"/>
    <x v="1"/>
    <x v="5"/>
    <x v="4"/>
    <n v="-5"/>
    <x v="5"/>
  </r>
  <r>
    <d v="2021-06-19T00:00:00"/>
    <s v="Drink"/>
    <n v="5"/>
    <m/>
    <x v="1"/>
    <x v="1"/>
    <x v="1"/>
    <x v="5"/>
    <x v="5"/>
    <n v="-5"/>
    <x v="5"/>
  </r>
  <r>
    <d v="2021-06-20T00:00:00"/>
    <s v="Drink"/>
    <n v="5"/>
    <m/>
    <x v="1"/>
    <x v="1"/>
    <x v="1"/>
    <x v="5"/>
    <x v="6"/>
    <n v="-5"/>
    <x v="5"/>
  </r>
  <r>
    <d v="2021-06-20T00:00:00"/>
    <s v="Green's"/>
    <n v="234"/>
    <m/>
    <x v="4"/>
    <x v="2"/>
    <x v="1"/>
    <x v="5"/>
    <x v="6"/>
    <n v="-234"/>
    <x v="5"/>
  </r>
  <r>
    <d v="2021-06-21T00:00:00"/>
    <s v="Suya"/>
    <n v="42.1"/>
    <m/>
    <x v="8"/>
    <x v="1"/>
    <x v="1"/>
    <x v="5"/>
    <x v="0"/>
    <n v="-42.1"/>
    <x v="5"/>
  </r>
  <r>
    <d v="2021-06-22T00:00:00"/>
    <s v="Oha soup/White soup"/>
    <n v="17.099999999999998"/>
    <m/>
    <x v="8"/>
    <x v="1"/>
    <x v="1"/>
    <x v="5"/>
    <x v="1"/>
    <n v="-17.099999999999998"/>
    <x v="5"/>
  </r>
  <r>
    <d v="2021-06-23T00:00:00"/>
    <s v="Orphanage"/>
    <n v="55"/>
    <m/>
    <x v="14"/>
    <x v="6"/>
    <x v="1"/>
    <x v="5"/>
    <x v="2"/>
    <n v="-55"/>
    <x v="5"/>
  </r>
  <r>
    <d v="2021-06-23T00:00:00"/>
    <s v="Fuel"/>
    <n v="67.900000000000006"/>
    <m/>
    <x v="15"/>
    <x v="3"/>
    <x v="1"/>
    <x v="5"/>
    <x v="2"/>
    <n v="-67.900000000000006"/>
    <x v="5"/>
  </r>
  <r>
    <d v="2021-06-23T00:00:00"/>
    <s v="Drink"/>
    <n v="5"/>
    <m/>
    <x v="1"/>
    <x v="1"/>
    <x v="1"/>
    <x v="5"/>
    <x v="2"/>
    <n v="-5"/>
    <x v="5"/>
  </r>
  <r>
    <d v="2021-06-24T00:00:00"/>
    <s v="Drink"/>
    <n v="5"/>
    <m/>
    <x v="1"/>
    <x v="1"/>
    <x v="1"/>
    <x v="5"/>
    <x v="3"/>
    <n v="-5"/>
    <x v="5"/>
  </r>
  <r>
    <d v="2021-06-25T00:00:00"/>
    <s v="Drink"/>
    <n v="5"/>
    <m/>
    <x v="1"/>
    <x v="1"/>
    <x v="1"/>
    <x v="5"/>
    <x v="4"/>
    <n v="-5"/>
    <x v="5"/>
  </r>
  <r>
    <d v="2021-06-26T00:00:00"/>
    <s v="Drink"/>
    <n v="5"/>
    <m/>
    <x v="1"/>
    <x v="1"/>
    <x v="1"/>
    <x v="5"/>
    <x v="5"/>
    <n v="-5"/>
    <x v="5"/>
  </r>
  <r>
    <d v="2021-06-27T00:00:00"/>
    <s v="Drink"/>
    <n v="5"/>
    <m/>
    <x v="1"/>
    <x v="1"/>
    <x v="1"/>
    <x v="5"/>
    <x v="6"/>
    <n v="-5"/>
    <x v="5"/>
  </r>
  <r>
    <d v="2021-06-27T00:00:00"/>
    <s v="Green's"/>
    <n v="166.9"/>
    <m/>
    <x v="4"/>
    <x v="2"/>
    <x v="1"/>
    <x v="5"/>
    <x v="6"/>
    <n v="-166.9"/>
    <x v="5"/>
  </r>
  <r>
    <d v="2021-06-28T00:00:00"/>
    <s v="Trainers"/>
    <n v="129.9"/>
    <m/>
    <x v="7"/>
    <x v="4"/>
    <x v="1"/>
    <x v="5"/>
    <x v="0"/>
    <n v="-129.9"/>
    <x v="5"/>
  </r>
  <r>
    <d v="2021-06-28T00:00:00"/>
    <s v="Hangingout/Ticket"/>
    <n v="180.29999999999998"/>
    <m/>
    <x v="6"/>
    <x v="4"/>
    <x v="1"/>
    <x v="5"/>
    <x v="0"/>
    <n v="-180.29999999999998"/>
    <x v="5"/>
  </r>
  <r>
    <d v="2021-06-29T00:00:00"/>
    <s v="Fashionistas"/>
    <n v="150.1"/>
    <m/>
    <x v="7"/>
    <x v="4"/>
    <x v="1"/>
    <x v="5"/>
    <x v="1"/>
    <n v="-150.1"/>
    <x v="5"/>
  </r>
  <r>
    <d v="2021-06-29T00:00:00"/>
    <s v="Uba"/>
    <n v="28.200000000000003"/>
    <m/>
    <x v="9"/>
    <x v="3"/>
    <x v="1"/>
    <x v="5"/>
    <x v="1"/>
    <n v="-28.200000000000003"/>
    <x v="5"/>
  </r>
  <r>
    <d v="2021-06-29T00:00:00"/>
    <s v="Foodary"/>
    <n v="15"/>
    <m/>
    <x v="8"/>
    <x v="1"/>
    <x v="1"/>
    <x v="5"/>
    <x v="1"/>
    <n v="-15"/>
    <x v="5"/>
  </r>
  <r>
    <d v="2021-06-30T00:00:00"/>
    <s v="Drink"/>
    <n v="5"/>
    <m/>
    <x v="1"/>
    <x v="1"/>
    <x v="1"/>
    <x v="5"/>
    <x v="2"/>
    <n v="-5"/>
    <x v="5"/>
  </r>
  <r>
    <d v="2021-07-01T00:00:00"/>
    <s v="Drink"/>
    <n v="5"/>
    <m/>
    <x v="1"/>
    <x v="1"/>
    <x v="1"/>
    <x v="6"/>
    <x v="3"/>
    <n v="-5"/>
    <x v="6"/>
  </r>
  <r>
    <d v="2021-07-02T00:00:00"/>
    <s v="Data With Decision"/>
    <m/>
    <n v="5000"/>
    <x v="0"/>
    <x v="0"/>
    <x v="0"/>
    <x v="6"/>
    <x v="4"/>
    <n v="5000"/>
    <x v="6"/>
  </r>
  <r>
    <d v="2021-07-03T00:00:00"/>
    <s v="Drink"/>
    <n v="5"/>
    <m/>
    <x v="1"/>
    <x v="1"/>
    <x v="1"/>
    <x v="6"/>
    <x v="5"/>
    <n v="-5"/>
    <x v="6"/>
  </r>
  <r>
    <d v="2021-07-05T00:00:00"/>
    <s v="Estate Mangement"/>
    <n v="900"/>
    <m/>
    <x v="2"/>
    <x v="2"/>
    <x v="1"/>
    <x v="6"/>
    <x v="0"/>
    <n v="-900"/>
    <x v="6"/>
  </r>
  <r>
    <d v="2021-07-05T00:00:00"/>
    <s v="Financail upgrade"/>
    <n v="150"/>
    <m/>
    <x v="3"/>
    <x v="3"/>
    <x v="1"/>
    <x v="6"/>
    <x v="0"/>
    <n v="-150"/>
    <x v="6"/>
  </r>
  <r>
    <d v="2021-07-05T00:00:00"/>
    <s v="Feedings"/>
    <n v="15"/>
    <m/>
    <x v="8"/>
    <x v="1"/>
    <x v="1"/>
    <x v="6"/>
    <x v="0"/>
    <n v="-15"/>
    <x v="6"/>
  </r>
  <r>
    <d v="2021-07-05T00:00:00"/>
    <s v="Drink"/>
    <n v="5"/>
    <m/>
    <x v="1"/>
    <x v="1"/>
    <x v="1"/>
    <x v="6"/>
    <x v="0"/>
    <n v="-5"/>
    <x v="6"/>
  </r>
  <r>
    <d v="2021-07-06T00:00:00"/>
    <s v="Drink"/>
    <n v="5"/>
    <m/>
    <x v="1"/>
    <x v="1"/>
    <x v="1"/>
    <x v="6"/>
    <x v="1"/>
    <n v="-5"/>
    <x v="6"/>
  </r>
  <r>
    <d v="2021-07-07T00:00:00"/>
    <s v="Drink"/>
    <n v="5"/>
    <m/>
    <x v="1"/>
    <x v="1"/>
    <x v="1"/>
    <x v="6"/>
    <x v="2"/>
    <n v="-5"/>
    <x v="6"/>
  </r>
  <r>
    <d v="2021-07-07T00:00:00"/>
    <s v="Green's"/>
    <n v="180"/>
    <m/>
    <x v="4"/>
    <x v="2"/>
    <x v="1"/>
    <x v="6"/>
    <x v="2"/>
    <n v="-180"/>
    <x v="6"/>
  </r>
  <r>
    <d v="2021-07-10T00:00:00"/>
    <s v="Power source"/>
    <n v="56.1"/>
    <m/>
    <x v="5"/>
    <x v="2"/>
    <x v="1"/>
    <x v="6"/>
    <x v="5"/>
    <n v="-56.1"/>
    <x v="6"/>
  </r>
  <r>
    <d v="2021-07-10T00:00:00"/>
    <s v="Drink"/>
    <n v="5"/>
    <m/>
    <x v="1"/>
    <x v="1"/>
    <x v="1"/>
    <x v="6"/>
    <x v="5"/>
    <n v="-5"/>
    <x v="6"/>
  </r>
  <r>
    <d v="2021-07-11T00:00:00"/>
    <s v="Drink"/>
    <n v="5"/>
    <m/>
    <x v="1"/>
    <x v="1"/>
    <x v="1"/>
    <x v="6"/>
    <x v="6"/>
    <n v="-5"/>
    <x v="6"/>
  </r>
  <r>
    <d v="2021-07-12T00:00:00"/>
    <s v="Fuel"/>
    <n v="83.1"/>
    <m/>
    <x v="15"/>
    <x v="3"/>
    <x v="1"/>
    <x v="6"/>
    <x v="0"/>
    <n v="-83.1"/>
    <x v="6"/>
  </r>
  <r>
    <d v="2021-07-12T00:00:00"/>
    <s v="Drink"/>
    <n v="5"/>
    <m/>
    <x v="1"/>
    <x v="1"/>
    <x v="1"/>
    <x v="6"/>
    <x v="0"/>
    <n v="-5"/>
    <x v="6"/>
  </r>
  <r>
    <d v="2021-07-13T00:00:00"/>
    <s v="Drink"/>
    <n v="5"/>
    <m/>
    <x v="1"/>
    <x v="1"/>
    <x v="1"/>
    <x v="6"/>
    <x v="1"/>
    <n v="-5"/>
    <x v="6"/>
  </r>
  <r>
    <d v="2021-07-14T00:00:00"/>
    <s v="Green's"/>
    <n v="141.1"/>
    <m/>
    <x v="4"/>
    <x v="2"/>
    <x v="1"/>
    <x v="6"/>
    <x v="2"/>
    <n v="-141.1"/>
    <x v="6"/>
  </r>
  <r>
    <d v="2021-07-14T00:00:00"/>
    <s v="Drink"/>
    <n v="5"/>
    <m/>
    <x v="1"/>
    <x v="1"/>
    <x v="1"/>
    <x v="6"/>
    <x v="2"/>
    <n v="-5"/>
    <x v="6"/>
  </r>
  <r>
    <d v="2021-07-15T00:00:00"/>
    <s v="Drink"/>
    <n v="5"/>
    <m/>
    <x v="1"/>
    <x v="1"/>
    <x v="1"/>
    <x v="6"/>
    <x v="3"/>
    <n v="-5"/>
    <x v="6"/>
  </r>
  <r>
    <d v="2021-07-15T00:00:00"/>
    <s v="Cinemas"/>
    <n v="45.8"/>
    <m/>
    <x v="6"/>
    <x v="4"/>
    <x v="1"/>
    <x v="6"/>
    <x v="3"/>
    <n v="-45.8"/>
    <x v="6"/>
  </r>
  <r>
    <d v="2021-07-15T00:00:00"/>
    <s v="Fashionistas"/>
    <n v="103.80000000000001"/>
    <m/>
    <x v="7"/>
    <x v="4"/>
    <x v="1"/>
    <x v="6"/>
    <x v="3"/>
    <n v="-103.80000000000001"/>
    <x v="6"/>
  </r>
  <r>
    <d v="2021-07-15T00:00:00"/>
    <s v="Burger"/>
    <n v="58"/>
    <m/>
    <x v="8"/>
    <x v="1"/>
    <x v="1"/>
    <x v="6"/>
    <x v="3"/>
    <n v="-58"/>
    <x v="6"/>
  </r>
  <r>
    <d v="2021-07-16T00:00:00"/>
    <s v="Uba"/>
    <n v="34.200000000000003"/>
    <m/>
    <x v="9"/>
    <x v="3"/>
    <x v="1"/>
    <x v="6"/>
    <x v="4"/>
    <n v="-34.200000000000003"/>
    <x v="6"/>
  </r>
  <r>
    <d v="2021-07-17T00:00:00"/>
    <s v="Onlne earning"/>
    <m/>
    <n v="200"/>
    <x v="10"/>
    <x v="5"/>
    <x v="0"/>
    <x v="6"/>
    <x v="5"/>
    <n v="200"/>
    <x v="6"/>
  </r>
  <r>
    <d v="2021-07-17T00:00:00"/>
    <s v="Drink"/>
    <n v="5"/>
    <m/>
    <x v="1"/>
    <x v="1"/>
    <x v="1"/>
    <x v="6"/>
    <x v="5"/>
    <n v="-5"/>
    <x v="6"/>
  </r>
  <r>
    <d v="2021-07-18T00:00:00"/>
    <s v="Drink"/>
    <n v="5"/>
    <m/>
    <x v="1"/>
    <x v="1"/>
    <x v="1"/>
    <x v="6"/>
    <x v="6"/>
    <n v="-5"/>
    <x v="6"/>
  </r>
  <r>
    <d v="2021-07-18T00:00:00"/>
    <s v="Phone"/>
    <n v="40"/>
    <m/>
    <x v="12"/>
    <x v="2"/>
    <x v="1"/>
    <x v="6"/>
    <x v="6"/>
    <n v="-40"/>
    <x v="6"/>
  </r>
  <r>
    <d v="2021-07-19T00:00:00"/>
    <s v="Sallah give away"/>
    <n v="51.1"/>
    <m/>
    <x v="13"/>
    <x v="4"/>
    <x v="1"/>
    <x v="6"/>
    <x v="0"/>
    <n v="-51.1"/>
    <x v="6"/>
  </r>
  <r>
    <d v="2021-07-19T00:00:00"/>
    <s v="Online streaming"/>
    <n v="35"/>
    <m/>
    <x v="6"/>
    <x v="4"/>
    <x v="1"/>
    <x v="6"/>
    <x v="0"/>
    <n v="-35"/>
    <x v="6"/>
  </r>
  <r>
    <d v="2021-07-19T00:00:00"/>
    <s v="Drink"/>
    <n v="5"/>
    <m/>
    <x v="1"/>
    <x v="1"/>
    <x v="1"/>
    <x v="6"/>
    <x v="0"/>
    <n v="-5"/>
    <x v="6"/>
  </r>
  <r>
    <d v="2021-07-20T00:00:00"/>
    <s v="Drink"/>
    <n v="5"/>
    <m/>
    <x v="1"/>
    <x v="1"/>
    <x v="1"/>
    <x v="6"/>
    <x v="1"/>
    <n v="-5"/>
    <x v="6"/>
  </r>
  <r>
    <d v="2021-07-21T00:00:00"/>
    <s v="Drink"/>
    <n v="5"/>
    <m/>
    <x v="1"/>
    <x v="1"/>
    <x v="1"/>
    <x v="6"/>
    <x v="2"/>
    <n v="-5"/>
    <x v="6"/>
  </r>
  <r>
    <d v="2021-07-21T00:00:00"/>
    <s v="Green's"/>
    <n v="176"/>
    <m/>
    <x v="4"/>
    <x v="2"/>
    <x v="1"/>
    <x v="6"/>
    <x v="2"/>
    <n v="-176"/>
    <x v="6"/>
  </r>
  <r>
    <d v="2021-07-22T00:00:00"/>
    <s v="Suya"/>
    <n v="43.1"/>
    <m/>
    <x v="8"/>
    <x v="1"/>
    <x v="1"/>
    <x v="6"/>
    <x v="3"/>
    <n v="-43.1"/>
    <x v="6"/>
  </r>
  <r>
    <d v="2021-07-23T00:00:00"/>
    <s v="Oha soup/White soup"/>
    <n v="18.2"/>
    <m/>
    <x v="8"/>
    <x v="1"/>
    <x v="1"/>
    <x v="6"/>
    <x v="4"/>
    <n v="-18.2"/>
    <x v="6"/>
  </r>
  <r>
    <d v="2021-07-24T00:00:00"/>
    <s v="Orphanage"/>
    <n v="55"/>
    <m/>
    <x v="14"/>
    <x v="6"/>
    <x v="1"/>
    <x v="6"/>
    <x v="5"/>
    <n v="-55"/>
    <x v="6"/>
  </r>
  <r>
    <d v="2021-07-24T00:00:00"/>
    <s v="Fuel"/>
    <n v="68.800000000000011"/>
    <m/>
    <x v="15"/>
    <x v="3"/>
    <x v="1"/>
    <x v="6"/>
    <x v="5"/>
    <n v="-68.800000000000011"/>
    <x v="6"/>
  </r>
  <r>
    <d v="2021-07-24T00:00:00"/>
    <s v="Drink"/>
    <n v="5"/>
    <m/>
    <x v="1"/>
    <x v="1"/>
    <x v="1"/>
    <x v="6"/>
    <x v="5"/>
    <n v="-5"/>
    <x v="6"/>
  </r>
  <r>
    <d v="2021-07-25T00:00:00"/>
    <s v="Drink"/>
    <n v="5"/>
    <m/>
    <x v="1"/>
    <x v="1"/>
    <x v="1"/>
    <x v="6"/>
    <x v="6"/>
    <n v="-5"/>
    <x v="6"/>
  </r>
  <r>
    <d v="2021-07-26T00:00:00"/>
    <s v="Drink"/>
    <n v="5"/>
    <m/>
    <x v="1"/>
    <x v="1"/>
    <x v="1"/>
    <x v="6"/>
    <x v="0"/>
    <n v="-5"/>
    <x v="6"/>
  </r>
  <r>
    <d v="2021-07-27T00:00:00"/>
    <s v="Drink"/>
    <n v="5"/>
    <m/>
    <x v="1"/>
    <x v="1"/>
    <x v="1"/>
    <x v="6"/>
    <x v="1"/>
    <n v="-5"/>
    <x v="6"/>
  </r>
  <r>
    <d v="2021-07-28T00:00:00"/>
    <s v="Drink"/>
    <n v="5"/>
    <m/>
    <x v="1"/>
    <x v="1"/>
    <x v="1"/>
    <x v="6"/>
    <x v="2"/>
    <n v="-5"/>
    <x v="6"/>
  </r>
  <r>
    <d v="2021-07-28T00:00:00"/>
    <s v="Green's"/>
    <n v="193"/>
    <m/>
    <x v="4"/>
    <x v="2"/>
    <x v="1"/>
    <x v="6"/>
    <x v="2"/>
    <n v="-193"/>
    <x v="6"/>
  </r>
  <r>
    <d v="2021-07-29T00:00:00"/>
    <s v="Trainers"/>
    <n v="130.80000000000001"/>
    <m/>
    <x v="7"/>
    <x v="4"/>
    <x v="1"/>
    <x v="6"/>
    <x v="3"/>
    <n v="-130.80000000000001"/>
    <x v="6"/>
  </r>
  <r>
    <d v="2021-07-29T00:00:00"/>
    <s v="Home décor"/>
    <n v="181.39999999999998"/>
    <m/>
    <x v="17"/>
    <x v="4"/>
    <x v="1"/>
    <x v="6"/>
    <x v="3"/>
    <n v="-181.39999999999998"/>
    <x v="6"/>
  </r>
  <r>
    <d v="2021-07-30T00:00:00"/>
    <s v="Fashionistas"/>
    <n v="151.19999999999999"/>
    <m/>
    <x v="7"/>
    <x v="4"/>
    <x v="1"/>
    <x v="6"/>
    <x v="4"/>
    <n v="-151.19999999999999"/>
    <x v="6"/>
  </r>
  <r>
    <d v="2021-07-30T00:00:00"/>
    <s v="Uba"/>
    <n v="29.300000000000004"/>
    <m/>
    <x v="9"/>
    <x v="3"/>
    <x v="1"/>
    <x v="6"/>
    <x v="4"/>
    <n v="-29.300000000000004"/>
    <x v="6"/>
  </r>
  <r>
    <d v="2021-07-30T00:00:00"/>
    <s v="Foodary"/>
    <n v="15"/>
    <m/>
    <x v="8"/>
    <x v="1"/>
    <x v="1"/>
    <x v="6"/>
    <x v="4"/>
    <n v="-15"/>
    <x v="6"/>
  </r>
  <r>
    <d v="2021-07-31T00:00:00"/>
    <s v="Drink"/>
    <n v="5"/>
    <m/>
    <x v="1"/>
    <x v="1"/>
    <x v="1"/>
    <x v="6"/>
    <x v="5"/>
    <n v="-5"/>
    <x v="6"/>
  </r>
  <r>
    <d v="2021-08-02T00:00:00"/>
    <s v="Drink"/>
    <n v="5"/>
    <m/>
    <x v="1"/>
    <x v="1"/>
    <x v="1"/>
    <x v="7"/>
    <x v="0"/>
    <n v="-5"/>
    <x v="7"/>
  </r>
  <r>
    <d v="2021-08-02T00:00:00"/>
    <s v="Data With Decision"/>
    <m/>
    <n v="5000"/>
    <x v="0"/>
    <x v="0"/>
    <x v="0"/>
    <x v="7"/>
    <x v="0"/>
    <n v="5000"/>
    <x v="7"/>
  </r>
  <r>
    <d v="2021-08-03T00:00:00"/>
    <s v="Drink"/>
    <n v="5"/>
    <m/>
    <x v="1"/>
    <x v="1"/>
    <x v="1"/>
    <x v="7"/>
    <x v="1"/>
    <n v="-5"/>
    <x v="7"/>
  </r>
  <r>
    <d v="2021-08-05T00:00:00"/>
    <s v="Estate Mangement"/>
    <n v="900"/>
    <m/>
    <x v="2"/>
    <x v="2"/>
    <x v="1"/>
    <x v="7"/>
    <x v="3"/>
    <n v="-900"/>
    <x v="7"/>
  </r>
  <r>
    <d v="2021-08-05T00:00:00"/>
    <s v="Financail upgrade"/>
    <n v="150"/>
    <m/>
    <x v="3"/>
    <x v="3"/>
    <x v="1"/>
    <x v="7"/>
    <x v="3"/>
    <n v="-150"/>
    <x v="7"/>
  </r>
  <r>
    <d v="2021-08-05T00:00:00"/>
    <s v="Drink"/>
    <n v="5"/>
    <m/>
    <x v="1"/>
    <x v="1"/>
    <x v="1"/>
    <x v="7"/>
    <x v="3"/>
    <n v="-5"/>
    <x v="7"/>
  </r>
  <r>
    <d v="2021-08-05T00:00:00"/>
    <s v="Drink"/>
    <n v="5"/>
    <m/>
    <x v="1"/>
    <x v="1"/>
    <x v="1"/>
    <x v="7"/>
    <x v="3"/>
    <n v="-5"/>
    <x v="7"/>
  </r>
  <r>
    <d v="2021-08-06T00:00:00"/>
    <s v="Drink"/>
    <n v="5"/>
    <m/>
    <x v="1"/>
    <x v="1"/>
    <x v="1"/>
    <x v="7"/>
    <x v="4"/>
    <n v="-5"/>
    <x v="7"/>
  </r>
  <r>
    <d v="2021-08-07T00:00:00"/>
    <s v="Drink"/>
    <n v="5"/>
    <m/>
    <x v="1"/>
    <x v="1"/>
    <x v="1"/>
    <x v="7"/>
    <x v="5"/>
    <n v="-5"/>
    <x v="7"/>
  </r>
  <r>
    <d v="2021-08-07T00:00:00"/>
    <s v="Green's"/>
    <n v="137"/>
    <m/>
    <x v="4"/>
    <x v="2"/>
    <x v="1"/>
    <x v="7"/>
    <x v="5"/>
    <n v="-137"/>
    <x v="7"/>
  </r>
  <r>
    <d v="2021-08-10T00:00:00"/>
    <s v="Power source"/>
    <n v="57"/>
    <m/>
    <x v="5"/>
    <x v="2"/>
    <x v="1"/>
    <x v="7"/>
    <x v="1"/>
    <n v="-57"/>
    <x v="7"/>
  </r>
  <r>
    <d v="2021-08-10T00:00:00"/>
    <s v="Drink"/>
    <n v="5"/>
    <m/>
    <x v="1"/>
    <x v="1"/>
    <x v="1"/>
    <x v="7"/>
    <x v="1"/>
    <n v="-5"/>
    <x v="7"/>
  </r>
  <r>
    <d v="2021-08-11T00:00:00"/>
    <s v="Drink"/>
    <n v="5"/>
    <m/>
    <x v="1"/>
    <x v="1"/>
    <x v="1"/>
    <x v="7"/>
    <x v="2"/>
    <n v="-5"/>
    <x v="7"/>
  </r>
  <r>
    <d v="2021-08-12T00:00:00"/>
    <s v="Fuel"/>
    <n v="84.199999999999989"/>
    <m/>
    <x v="15"/>
    <x v="3"/>
    <x v="1"/>
    <x v="7"/>
    <x v="3"/>
    <n v="-84.199999999999989"/>
    <x v="7"/>
  </r>
  <r>
    <d v="2021-08-12T00:00:00"/>
    <s v="Drink"/>
    <n v="5"/>
    <m/>
    <x v="1"/>
    <x v="1"/>
    <x v="1"/>
    <x v="7"/>
    <x v="3"/>
    <n v="-5"/>
    <x v="7"/>
  </r>
  <r>
    <d v="2021-08-13T00:00:00"/>
    <s v="Drink"/>
    <n v="5"/>
    <m/>
    <x v="1"/>
    <x v="1"/>
    <x v="1"/>
    <x v="7"/>
    <x v="4"/>
    <n v="-5"/>
    <x v="7"/>
  </r>
  <r>
    <d v="2021-08-14T00:00:00"/>
    <s v="Green's"/>
    <n v="142.1"/>
    <m/>
    <x v="4"/>
    <x v="2"/>
    <x v="1"/>
    <x v="7"/>
    <x v="5"/>
    <n v="-142.1"/>
    <x v="7"/>
  </r>
  <r>
    <d v="2021-08-14T00:00:00"/>
    <s v="Drink"/>
    <n v="5"/>
    <m/>
    <x v="1"/>
    <x v="1"/>
    <x v="1"/>
    <x v="7"/>
    <x v="5"/>
    <n v="-5"/>
    <x v="7"/>
  </r>
  <r>
    <d v="2021-08-15T00:00:00"/>
    <s v="Drink"/>
    <n v="5"/>
    <m/>
    <x v="1"/>
    <x v="1"/>
    <x v="1"/>
    <x v="7"/>
    <x v="6"/>
    <n v="-5"/>
    <x v="7"/>
  </r>
  <r>
    <d v="2021-08-15T00:00:00"/>
    <s v="Cinemas"/>
    <n v="46.8"/>
    <m/>
    <x v="6"/>
    <x v="4"/>
    <x v="1"/>
    <x v="7"/>
    <x v="6"/>
    <n v="-46.8"/>
    <x v="7"/>
  </r>
  <r>
    <d v="2021-08-15T00:00:00"/>
    <s v="Fashionistas"/>
    <n v="104.70000000000002"/>
    <m/>
    <x v="7"/>
    <x v="4"/>
    <x v="1"/>
    <x v="7"/>
    <x v="6"/>
    <n v="-104.70000000000002"/>
    <x v="7"/>
  </r>
  <r>
    <d v="2021-08-15T00:00:00"/>
    <s v="Burger"/>
    <n v="59.1"/>
    <m/>
    <x v="8"/>
    <x v="1"/>
    <x v="1"/>
    <x v="7"/>
    <x v="6"/>
    <n v="-59.1"/>
    <x v="7"/>
  </r>
  <r>
    <d v="2021-08-16T00:00:00"/>
    <s v="Uba"/>
    <n v="35.1"/>
    <m/>
    <x v="9"/>
    <x v="3"/>
    <x v="1"/>
    <x v="7"/>
    <x v="0"/>
    <n v="-35.1"/>
    <x v="7"/>
  </r>
  <r>
    <d v="2021-08-17T00:00:00"/>
    <s v="Onlne earning"/>
    <m/>
    <n v="800"/>
    <x v="10"/>
    <x v="5"/>
    <x v="0"/>
    <x v="7"/>
    <x v="1"/>
    <n v="800"/>
    <x v="7"/>
  </r>
  <r>
    <d v="2021-08-17T00:00:00"/>
    <s v="Drink"/>
    <n v="5"/>
    <m/>
    <x v="1"/>
    <x v="1"/>
    <x v="1"/>
    <x v="7"/>
    <x v="1"/>
    <n v="-5"/>
    <x v="7"/>
  </r>
  <r>
    <d v="2021-08-18T00:00:00"/>
    <s v="Drink"/>
    <n v="5"/>
    <m/>
    <x v="1"/>
    <x v="1"/>
    <x v="1"/>
    <x v="7"/>
    <x v="2"/>
    <n v="-5"/>
    <x v="7"/>
  </r>
  <r>
    <d v="2021-08-18T00:00:00"/>
    <s v="Phone"/>
    <n v="40"/>
    <m/>
    <x v="12"/>
    <x v="2"/>
    <x v="1"/>
    <x v="7"/>
    <x v="2"/>
    <n v="-40"/>
    <x v="7"/>
  </r>
  <r>
    <d v="2021-08-19T00:00:00"/>
    <s v="Sallah give away"/>
    <n v="52.1"/>
    <m/>
    <x v="13"/>
    <x v="4"/>
    <x v="1"/>
    <x v="7"/>
    <x v="3"/>
    <n v="-52.1"/>
    <x v="7"/>
  </r>
  <r>
    <d v="2021-08-19T00:00:00"/>
    <s v="Online streaming"/>
    <n v="35"/>
    <m/>
    <x v="6"/>
    <x v="4"/>
    <x v="1"/>
    <x v="7"/>
    <x v="3"/>
    <n v="-35"/>
    <x v="7"/>
  </r>
  <r>
    <d v="2021-08-19T00:00:00"/>
    <s v="Drink"/>
    <n v="5"/>
    <m/>
    <x v="1"/>
    <x v="1"/>
    <x v="1"/>
    <x v="7"/>
    <x v="3"/>
    <n v="-5"/>
    <x v="7"/>
  </r>
  <r>
    <d v="2021-08-20T00:00:00"/>
    <s v="Drink"/>
    <n v="5"/>
    <m/>
    <x v="1"/>
    <x v="1"/>
    <x v="1"/>
    <x v="7"/>
    <x v="4"/>
    <n v="-5"/>
    <x v="7"/>
  </r>
  <r>
    <d v="2021-08-21T00:00:00"/>
    <s v="Drink"/>
    <n v="5"/>
    <m/>
    <x v="1"/>
    <x v="1"/>
    <x v="1"/>
    <x v="7"/>
    <x v="5"/>
    <n v="-5"/>
    <x v="7"/>
  </r>
  <r>
    <d v="2021-08-21T00:00:00"/>
    <s v="Green's"/>
    <n v="177"/>
    <m/>
    <x v="4"/>
    <x v="2"/>
    <x v="1"/>
    <x v="7"/>
    <x v="5"/>
    <n v="-177"/>
    <x v="7"/>
  </r>
  <r>
    <d v="2021-08-22T00:00:00"/>
    <s v="Suya"/>
    <n v="44.2"/>
    <m/>
    <x v="8"/>
    <x v="1"/>
    <x v="1"/>
    <x v="7"/>
    <x v="6"/>
    <n v="-44.2"/>
    <x v="7"/>
  </r>
  <r>
    <d v="2021-08-23T00:00:00"/>
    <s v="Oha soup/White soup"/>
    <n v="19.2"/>
    <m/>
    <x v="8"/>
    <x v="1"/>
    <x v="1"/>
    <x v="7"/>
    <x v="0"/>
    <n v="-19.2"/>
    <x v="7"/>
  </r>
  <r>
    <d v="2021-08-24T00:00:00"/>
    <s v="Orphanage"/>
    <n v="55"/>
    <m/>
    <x v="14"/>
    <x v="6"/>
    <x v="1"/>
    <x v="7"/>
    <x v="1"/>
    <n v="-55"/>
    <x v="7"/>
  </r>
  <r>
    <d v="2021-08-24T00:00:00"/>
    <s v="Fuel"/>
    <n v="69.700000000000017"/>
    <m/>
    <x v="15"/>
    <x v="3"/>
    <x v="1"/>
    <x v="7"/>
    <x v="1"/>
    <n v="-69.700000000000017"/>
    <x v="7"/>
  </r>
  <r>
    <d v="2021-08-24T00:00:00"/>
    <s v="Drink"/>
    <n v="5"/>
    <m/>
    <x v="1"/>
    <x v="1"/>
    <x v="1"/>
    <x v="7"/>
    <x v="1"/>
    <n v="-5"/>
    <x v="7"/>
  </r>
  <r>
    <d v="2021-08-25T00:00:00"/>
    <s v="Drink"/>
    <n v="5"/>
    <m/>
    <x v="1"/>
    <x v="1"/>
    <x v="1"/>
    <x v="7"/>
    <x v="2"/>
    <n v="-5"/>
    <x v="7"/>
  </r>
  <r>
    <d v="2021-08-26T00:00:00"/>
    <s v="Drink"/>
    <n v="5"/>
    <m/>
    <x v="1"/>
    <x v="1"/>
    <x v="1"/>
    <x v="7"/>
    <x v="3"/>
    <n v="-5"/>
    <x v="7"/>
  </r>
  <r>
    <d v="2021-08-27T00:00:00"/>
    <s v="Drink"/>
    <n v="5"/>
    <m/>
    <x v="1"/>
    <x v="1"/>
    <x v="1"/>
    <x v="7"/>
    <x v="4"/>
    <n v="-5"/>
    <x v="7"/>
  </r>
  <r>
    <d v="2021-08-28T00:00:00"/>
    <s v="Drink"/>
    <n v="5"/>
    <m/>
    <x v="1"/>
    <x v="1"/>
    <x v="1"/>
    <x v="7"/>
    <x v="5"/>
    <n v="-5"/>
    <x v="7"/>
  </r>
  <r>
    <d v="2021-08-28T00:00:00"/>
    <s v="Green's"/>
    <n v="117"/>
    <m/>
    <x v="4"/>
    <x v="2"/>
    <x v="1"/>
    <x v="7"/>
    <x v="5"/>
    <n v="-117"/>
    <x v="7"/>
  </r>
  <r>
    <d v="2021-08-29T00:00:00"/>
    <s v="Trainers"/>
    <n v="131.9"/>
    <m/>
    <x v="7"/>
    <x v="4"/>
    <x v="1"/>
    <x v="7"/>
    <x v="6"/>
    <n v="-131.9"/>
    <x v="7"/>
  </r>
  <r>
    <d v="2021-08-29T00:00:00"/>
    <s v="Hangingout/Ticket"/>
    <n v="182.39999999999998"/>
    <m/>
    <x v="6"/>
    <x v="4"/>
    <x v="1"/>
    <x v="7"/>
    <x v="6"/>
    <n v="-182.39999999999998"/>
    <x v="7"/>
  </r>
  <r>
    <d v="2021-08-30T00:00:00"/>
    <s v="Fashionistas"/>
    <n v="152.29999999999998"/>
    <m/>
    <x v="7"/>
    <x v="4"/>
    <x v="1"/>
    <x v="7"/>
    <x v="0"/>
    <n v="-152.29999999999998"/>
    <x v="7"/>
  </r>
  <r>
    <d v="2021-08-30T00:00:00"/>
    <s v="Uba"/>
    <n v="30.300000000000004"/>
    <m/>
    <x v="9"/>
    <x v="3"/>
    <x v="1"/>
    <x v="7"/>
    <x v="0"/>
    <n v="-30.300000000000004"/>
    <x v="7"/>
  </r>
  <r>
    <d v="2021-08-30T00:00:00"/>
    <s v="Foodary"/>
    <n v="15"/>
    <m/>
    <x v="8"/>
    <x v="1"/>
    <x v="1"/>
    <x v="7"/>
    <x v="0"/>
    <n v="-15"/>
    <x v="7"/>
  </r>
  <r>
    <d v="2021-08-31T00:00:00"/>
    <s v="Drink"/>
    <n v="5"/>
    <m/>
    <x v="1"/>
    <x v="1"/>
    <x v="1"/>
    <x v="7"/>
    <x v="1"/>
    <n v="-5"/>
    <x v="7"/>
  </r>
  <r>
    <d v="2021-09-02T00:00:00"/>
    <s v="Drink"/>
    <n v="5"/>
    <m/>
    <x v="1"/>
    <x v="1"/>
    <x v="1"/>
    <x v="8"/>
    <x v="3"/>
    <n v="-5"/>
    <x v="8"/>
  </r>
  <r>
    <d v="2021-09-02T00:00:00"/>
    <s v="Data With Decision"/>
    <m/>
    <n v="5000"/>
    <x v="0"/>
    <x v="0"/>
    <x v="0"/>
    <x v="8"/>
    <x v="3"/>
    <n v="5000"/>
    <x v="8"/>
  </r>
  <r>
    <d v="2021-09-03T00:00:00"/>
    <s v="Drink"/>
    <n v="5"/>
    <m/>
    <x v="1"/>
    <x v="1"/>
    <x v="1"/>
    <x v="8"/>
    <x v="4"/>
    <n v="-5"/>
    <x v="8"/>
  </r>
  <r>
    <d v="2021-09-05T00:00:00"/>
    <s v="Estate Mangement"/>
    <n v="900"/>
    <m/>
    <x v="2"/>
    <x v="2"/>
    <x v="1"/>
    <x v="8"/>
    <x v="6"/>
    <n v="-900"/>
    <x v="8"/>
  </r>
  <r>
    <d v="2021-09-05T00:00:00"/>
    <s v="Financail upgrade"/>
    <n v="150"/>
    <m/>
    <x v="3"/>
    <x v="3"/>
    <x v="1"/>
    <x v="8"/>
    <x v="6"/>
    <n v="-150"/>
    <x v="8"/>
  </r>
  <r>
    <d v="2021-09-05T00:00:00"/>
    <s v="Drink"/>
    <n v="5"/>
    <m/>
    <x v="1"/>
    <x v="1"/>
    <x v="1"/>
    <x v="8"/>
    <x v="6"/>
    <n v="-5"/>
    <x v="8"/>
  </r>
  <r>
    <d v="2021-09-05T00:00:00"/>
    <s v="Drink"/>
    <n v="5"/>
    <m/>
    <x v="1"/>
    <x v="1"/>
    <x v="1"/>
    <x v="8"/>
    <x v="6"/>
    <n v="-5"/>
    <x v="8"/>
  </r>
  <r>
    <d v="2021-09-06T00:00:00"/>
    <s v="Drink"/>
    <n v="5"/>
    <m/>
    <x v="1"/>
    <x v="1"/>
    <x v="1"/>
    <x v="8"/>
    <x v="0"/>
    <n v="-5"/>
    <x v="8"/>
  </r>
  <r>
    <d v="2021-09-07T00:00:00"/>
    <s v="Drink"/>
    <n v="5"/>
    <m/>
    <x v="1"/>
    <x v="1"/>
    <x v="1"/>
    <x v="8"/>
    <x v="1"/>
    <n v="-5"/>
    <x v="8"/>
  </r>
  <r>
    <d v="2021-09-07T00:00:00"/>
    <s v="Green's"/>
    <n v="163.39999999999998"/>
    <m/>
    <x v="4"/>
    <x v="2"/>
    <x v="1"/>
    <x v="8"/>
    <x v="1"/>
    <n v="-163.39999999999998"/>
    <x v="8"/>
  </r>
  <r>
    <d v="2021-09-10T00:00:00"/>
    <s v="Power source"/>
    <n v="58.1"/>
    <m/>
    <x v="5"/>
    <x v="2"/>
    <x v="1"/>
    <x v="8"/>
    <x v="4"/>
    <n v="-58.1"/>
    <x v="8"/>
  </r>
  <r>
    <d v="2021-09-10T00:00:00"/>
    <s v="Drink"/>
    <n v="5"/>
    <m/>
    <x v="1"/>
    <x v="1"/>
    <x v="1"/>
    <x v="8"/>
    <x v="4"/>
    <n v="-5"/>
    <x v="8"/>
  </r>
  <r>
    <d v="2021-09-11T00:00:00"/>
    <s v="Drink"/>
    <n v="5"/>
    <m/>
    <x v="1"/>
    <x v="1"/>
    <x v="1"/>
    <x v="8"/>
    <x v="5"/>
    <n v="-5"/>
    <x v="8"/>
  </r>
  <r>
    <d v="2021-09-12T00:00:00"/>
    <s v="Fuel"/>
    <n v="85.299999999999983"/>
    <m/>
    <x v="15"/>
    <x v="3"/>
    <x v="1"/>
    <x v="8"/>
    <x v="6"/>
    <n v="-85.299999999999983"/>
    <x v="8"/>
  </r>
  <r>
    <d v="2021-09-12T00:00:00"/>
    <s v="Drink"/>
    <n v="5"/>
    <m/>
    <x v="1"/>
    <x v="1"/>
    <x v="1"/>
    <x v="8"/>
    <x v="6"/>
    <n v="-5"/>
    <x v="8"/>
  </r>
  <r>
    <d v="2021-09-13T00:00:00"/>
    <s v="Drink"/>
    <n v="5"/>
    <m/>
    <x v="1"/>
    <x v="1"/>
    <x v="1"/>
    <x v="8"/>
    <x v="0"/>
    <n v="-5"/>
    <x v="8"/>
  </r>
  <r>
    <d v="2021-09-14T00:00:00"/>
    <s v="Green's"/>
    <n v="143"/>
    <m/>
    <x v="4"/>
    <x v="2"/>
    <x v="1"/>
    <x v="8"/>
    <x v="1"/>
    <n v="-143"/>
    <x v="8"/>
  </r>
  <r>
    <d v="2021-09-14T00:00:00"/>
    <s v="Drink"/>
    <n v="5"/>
    <m/>
    <x v="1"/>
    <x v="1"/>
    <x v="1"/>
    <x v="8"/>
    <x v="1"/>
    <n v="-5"/>
    <x v="8"/>
  </r>
  <r>
    <d v="2021-09-15T00:00:00"/>
    <s v="Drink"/>
    <n v="5"/>
    <m/>
    <x v="1"/>
    <x v="1"/>
    <x v="1"/>
    <x v="8"/>
    <x v="2"/>
    <n v="-5"/>
    <x v="8"/>
  </r>
  <r>
    <d v="2021-09-15T00:00:00"/>
    <s v="Cinemas"/>
    <n v="47.8"/>
    <m/>
    <x v="6"/>
    <x v="4"/>
    <x v="1"/>
    <x v="8"/>
    <x v="2"/>
    <n v="-47.8"/>
    <x v="8"/>
  </r>
  <r>
    <d v="2021-09-15T00:00:00"/>
    <s v="Fashionistas"/>
    <n v="105.80000000000001"/>
    <m/>
    <x v="7"/>
    <x v="4"/>
    <x v="1"/>
    <x v="8"/>
    <x v="2"/>
    <n v="-105.80000000000001"/>
    <x v="8"/>
  </r>
  <r>
    <d v="2021-09-15T00:00:00"/>
    <s v="Burger"/>
    <n v="60.1"/>
    <m/>
    <x v="8"/>
    <x v="1"/>
    <x v="1"/>
    <x v="8"/>
    <x v="2"/>
    <n v="-60.1"/>
    <x v="8"/>
  </r>
  <r>
    <d v="2021-09-16T00:00:00"/>
    <s v="Uba"/>
    <n v="36.200000000000003"/>
    <m/>
    <x v="9"/>
    <x v="3"/>
    <x v="1"/>
    <x v="8"/>
    <x v="3"/>
    <n v="-36.200000000000003"/>
    <x v="8"/>
  </r>
  <r>
    <d v="2021-09-17T00:00:00"/>
    <s v="Onlne earning"/>
    <m/>
    <n v="100"/>
    <x v="10"/>
    <x v="5"/>
    <x v="0"/>
    <x v="8"/>
    <x v="4"/>
    <n v="100"/>
    <x v="8"/>
  </r>
  <r>
    <d v="2021-09-17T00:00:00"/>
    <s v="Drink"/>
    <n v="5"/>
    <m/>
    <x v="1"/>
    <x v="1"/>
    <x v="1"/>
    <x v="8"/>
    <x v="4"/>
    <n v="-5"/>
    <x v="8"/>
  </r>
  <r>
    <d v="2021-09-18T00:00:00"/>
    <s v="Drink"/>
    <n v="5"/>
    <m/>
    <x v="1"/>
    <x v="1"/>
    <x v="1"/>
    <x v="8"/>
    <x v="5"/>
    <n v="-5"/>
    <x v="8"/>
  </r>
  <r>
    <d v="2021-09-18T00:00:00"/>
    <s v="Phone"/>
    <n v="40"/>
    <m/>
    <x v="12"/>
    <x v="2"/>
    <x v="1"/>
    <x v="8"/>
    <x v="5"/>
    <n v="-40"/>
    <x v="8"/>
  </r>
  <r>
    <d v="2021-09-19T00:00:00"/>
    <s v="Sallah give away"/>
    <n v="53"/>
    <m/>
    <x v="13"/>
    <x v="4"/>
    <x v="1"/>
    <x v="8"/>
    <x v="6"/>
    <n v="-53"/>
    <x v="8"/>
  </r>
  <r>
    <d v="2021-09-19T00:00:00"/>
    <s v="Online streaming"/>
    <n v="35"/>
    <m/>
    <x v="6"/>
    <x v="4"/>
    <x v="1"/>
    <x v="8"/>
    <x v="6"/>
    <n v="-35"/>
    <x v="8"/>
  </r>
  <r>
    <d v="2021-09-19T00:00:00"/>
    <s v="Drink"/>
    <n v="5"/>
    <m/>
    <x v="1"/>
    <x v="1"/>
    <x v="1"/>
    <x v="8"/>
    <x v="6"/>
    <n v="-5"/>
    <x v="8"/>
  </r>
  <r>
    <d v="2021-09-20T00:00:00"/>
    <s v="Drink"/>
    <n v="5"/>
    <m/>
    <x v="1"/>
    <x v="1"/>
    <x v="1"/>
    <x v="8"/>
    <x v="0"/>
    <n v="-5"/>
    <x v="8"/>
  </r>
  <r>
    <d v="2021-09-21T00:00:00"/>
    <s v="Drink"/>
    <n v="5"/>
    <m/>
    <x v="1"/>
    <x v="1"/>
    <x v="1"/>
    <x v="8"/>
    <x v="1"/>
    <n v="-5"/>
    <x v="8"/>
  </r>
  <r>
    <d v="2021-09-21T00:00:00"/>
    <s v="Green's"/>
    <n v="177.9"/>
    <m/>
    <x v="4"/>
    <x v="2"/>
    <x v="1"/>
    <x v="8"/>
    <x v="1"/>
    <n v="-177.9"/>
    <x v="8"/>
  </r>
  <r>
    <d v="2021-09-22T00:00:00"/>
    <s v="Suya"/>
    <n v="45.300000000000004"/>
    <m/>
    <x v="8"/>
    <x v="1"/>
    <x v="1"/>
    <x v="8"/>
    <x v="2"/>
    <n v="-45.300000000000004"/>
    <x v="8"/>
  </r>
  <r>
    <d v="2021-09-23T00:00:00"/>
    <s v="Oha soup/White soup"/>
    <n v="20.099999999999998"/>
    <m/>
    <x v="8"/>
    <x v="1"/>
    <x v="1"/>
    <x v="8"/>
    <x v="3"/>
    <n v="-20.099999999999998"/>
    <x v="8"/>
  </r>
  <r>
    <d v="2021-09-24T00:00:00"/>
    <s v="Orphanage"/>
    <n v="55"/>
    <m/>
    <x v="14"/>
    <x v="6"/>
    <x v="1"/>
    <x v="8"/>
    <x v="4"/>
    <n v="-55"/>
    <x v="8"/>
  </r>
  <r>
    <d v="2021-09-24T00:00:00"/>
    <s v="Fuel"/>
    <n v="70.600000000000023"/>
    <m/>
    <x v="15"/>
    <x v="3"/>
    <x v="1"/>
    <x v="8"/>
    <x v="4"/>
    <n v="-70.600000000000023"/>
    <x v="8"/>
  </r>
  <r>
    <d v="2021-09-24T00:00:00"/>
    <s v="Drink"/>
    <n v="5"/>
    <m/>
    <x v="1"/>
    <x v="1"/>
    <x v="1"/>
    <x v="8"/>
    <x v="4"/>
    <n v="-5"/>
    <x v="8"/>
  </r>
  <r>
    <d v="2021-09-25T00:00:00"/>
    <s v="Drink"/>
    <n v="5"/>
    <m/>
    <x v="1"/>
    <x v="1"/>
    <x v="1"/>
    <x v="8"/>
    <x v="5"/>
    <n v="-5"/>
    <x v="8"/>
  </r>
  <r>
    <d v="2021-09-26T00:00:00"/>
    <s v="Drink"/>
    <n v="5"/>
    <m/>
    <x v="1"/>
    <x v="1"/>
    <x v="1"/>
    <x v="8"/>
    <x v="6"/>
    <n v="-5"/>
    <x v="8"/>
  </r>
  <r>
    <d v="2021-09-27T00:00:00"/>
    <s v="Drink"/>
    <n v="5"/>
    <m/>
    <x v="1"/>
    <x v="1"/>
    <x v="1"/>
    <x v="8"/>
    <x v="0"/>
    <n v="-5"/>
    <x v="8"/>
  </r>
  <r>
    <d v="2021-09-28T00:00:00"/>
    <s v="Drink"/>
    <n v="5"/>
    <m/>
    <x v="1"/>
    <x v="1"/>
    <x v="1"/>
    <x v="8"/>
    <x v="1"/>
    <n v="-5"/>
    <x v="8"/>
  </r>
  <r>
    <d v="2021-09-28T00:00:00"/>
    <s v="Green's"/>
    <n v="223"/>
    <m/>
    <x v="4"/>
    <x v="2"/>
    <x v="1"/>
    <x v="8"/>
    <x v="1"/>
    <n v="-223"/>
    <x v="8"/>
  </r>
  <r>
    <d v="2021-09-29T00:00:00"/>
    <s v="Trainers"/>
    <n v="132.9"/>
    <m/>
    <x v="7"/>
    <x v="4"/>
    <x v="1"/>
    <x v="8"/>
    <x v="2"/>
    <n v="-132.9"/>
    <x v="8"/>
  </r>
  <r>
    <d v="2021-09-29T00:00:00"/>
    <s v="Global Fashion"/>
    <n v="175"/>
    <m/>
    <x v="7"/>
    <x v="4"/>
    <x v="1"/>
    <x v="8"/>
    <x v="2"/>
    <n v="-175"/>
    <x v="8"/>
  </r>
  <r>
    <d v="2021-09-30T00:00:00"/>
    <s v="Fashionistas"/>
    <n v="153.39999999999998"/>
    <m/>
    <x v="7"/>
    <x v="4"/>
    <x v="1"/>
    <x v="8"/>
    <x v="3"/>
    <n v="-153.39999999999998"/>
    <x v="8"/>
  </r>
  <r>
    <d v="2021-09-30T00:00:00"/>
    <s v="Uba"/>
    <n v="31.200000000000003"/>
    <m/>
    <x v="9"/>
    <x v="3"/>
    <x v="1"/>
    <x v="8"/>
    <x v="3"/>
    <n v="-31.200000000000003"/>
    <x v="8"/>
  </r>
  <r>
    <d v="2021-09-30T00:00:00"/>
    <s v="Foodary"/>
    <n v="15"/>
    <m/>
    <x v="8"/>
    <x v="1"/>
    <x v="1"/>
    <x v="8"/>
    <x v="3"/>
    <n v="-15"/>
    <x v="8"/>
  </r>
  <r>
    <d v="2021-10-01T00:00:00"/>
    <s v="Drink"/>
    <n v="5"/>
    <m/>
    <x v="1"/>
    <x v="1"/>
    <x v="1"/>
    <x v="9"/>
    <x v="4"/>
    <n v="-5"/>
    <x v="9"/>
  </r>
  <r>
    <d v="2021-10-03T00:00:00"/>
    <s v="Drink"/>
    <n v="5"/>
    <m/>
    <x v="1"/>
    <x v="1"/>
    <x v="1"/>
    <x v="9"/>
    <x v="6"/>
    <n v="-5"/>
    <x v="9"/>
  </r>
  <r>
    <d v="2021-10-03T00:00:00"/>
    <s v="Data With Decision"/>
    <m/>
    <n v="5000"/>
    <x v="0"/>
    <x v="0"/>
    <x v="0"/>
    <x v="9"/>
    <x v="6"/>
    <n v="5000"/>
    <x v="9"/>
  </r>
  <r>
    <d v="2021-10-04T00:00:00"/>
    <s v="Drink"/>
    <n v="5"/>
    <m/>
    <x v="1"/>
    <x v="1"/>
    <x v="1"/>
    <x v="9"/>
    <x v="0"/>
    <n v="-5"/>
    <x v="9"/>
  </r>
  <r>
    <d v="2021-10-06T00:00:00"/>
    <s v="Estate Mangement"/>
    <n v="900"/>
    <m/>
    <x v="2"/>
    <x v="2"/>
    <x v="1"/>
    <x v="9"/>
    <x v="2"/>
    <n v="-900"/>
    <x v="9"/>
  </r>
  <r>
    <d v="2021-10-06T00:00:00"/>
    <s v="Financail upgrade"/>
    <n v="150"/>
    <m/>
    <x v="3"/>
    <x v="3"/>
    <x v="1"/>
    <x v="9"/>
    <x v="2"/>
    <n v="-150"/>
    <x v="9"/>
  </r>
  <r>
    <d v="2021-10-06T00:00:00"/>
    <s v="Drink"/>
    <n v="5"/>
    <m/>
    <x v="1"/>
    <x v="1"/>
    <x v="1"/>
    <x v="9"/>
    <x v="2"/>
    <n v="-5"/>
    <x v="9"/>
  </r>
  <r>
    <d v="2021-10-06T00:00:00"/>
    <s v="Drink"/>
    <n v="5"/>
    <m/>
    <x v="1"/>
    <x v="1"/>
    <x v="1"/>
    <x v="9"/>
    <x v="2"/>
    <n v="-5"/>
    <x v="9"/>
  </r>
  <r>
    <d v="2021-10-07T00:00:00"/>
    <s v="Drink"/>
    <n v="5"/>
    <m/>
    <x v="1"/>
    <x v="1"/>
    <x v="1"/>
    <x v="9"/>
    <x v="3"/>
    <n v="-5"/>
    <x v="9"/>
  </r>
  <r>
    <d v="2021-10-08T00:00:00"/>
    <s v="Drink"/>
    <n v="5"/>
    <m/>
    <x v="1"/>
    <x v="1"/>
    <x v="1"/>
    <x v="9"/>
    <x v="4"/>
    <n v="-5"/>
    <x v="9"/>
  </r>
  <r>
    <d v="2021-10-08T00:00:00"/>
    <s v="Green's"/>
    <n v="105"/>
    <m/>
    <x v="4"/>
    <x v="2"/>
    <x v="1"/>
    <x v="9"/>
    <x v="4"/>
    <n v="-105"/>
    <x v="9"/>
  </r>
  <r>
    <d v="2021-10-11T00:00:00"/>
    <s v="Power source"/>
    <n v="59"/>
    <m/>
    <x v="5"/>
    <x v="2"/>
    <x v="1"/>
    <x v="9"/>
    <x v="0"/>
    <n v="-59"/>
    <x v="9"/>
  </r>
  <r>
    <d v="2021-10-11T00:00:00"/>
    <s v="Drink"/>
    <n v="5"/>
    <m/>
    <x v="1"/>
    <x v="1"/>
    <x v="1"/>
    <x v="9"/>
    <x v="0"/>
    <n v="-5"/>
    <x v="9"/>
  </r>
  <r>
    <d v="2021-10-12T00:00:00"/>
    <s v="Drink"/>
    <n v="5"/>
    <m/>
    <x v="1"/>
    <x v="1"/>
    <x v="1"/>
    <x v="9"/>
    <x v="1"/>
    <n v="-5"/>
    <x v="9"/>
  </r>
  <r>
    <d v="2021-10-13T00:00:00"/>
    <s v="Fuel"/>
    <n v="86.399999999999977"/>
    <m/>
    <x v="15"/>
    <x v="3"/>
    <x v="1"/>
    <x v="9"/>
    <x v="2"/>
    <n v="-86.399999999999977"/>
    <x v="9"/>
  </r>
  <r>
    <d v="2021-10-13T00:00:00"/>
    <s v="Drink"/>
    <n v="5"/>
    <m/>
    <x v="1"/>
    <x v="1"/>
    <x v="1"/>
    <x v="9"/>
    <x v="2"/>
    <n v="-5"/>
    <x v="9"/>
  </r>
  <r>
    <d v="2021-10-14T00:00:00"/>
    <s v="Drink"/>
    <n v="5"/>
    <m/>
    <x v="1"/>
    <x v="1"/>
    <x v="1"/>
    <x v="9"/>
    <x v="3"/>
    <n v="-5"/>
    <x v="9"/>
  </r>
  <r>
    <d v="2021-10-15T00:00:00"/>
    <s v="Green's"/>
    <n v="143.9"/>
    <m/>
    <x v="4"/>
    <x v="2"/>
    <x v="1"/>
    <x v="9"/>
    <x v="4"/>
    <n v="-143.9"/>
    <x v="9"/>
  </r>
  <r>
    <d v="2021-10-15T00:00:00"/>
    <s v="Drink"/>
    <n v="5"/>
    <m/>
    <x v="1"/>
    <x v="1"/>
    <x v="1"/>
    <x v="9"/>
    <x v="4"/>
    <n v="-5"/>
    <x v="9"/>
  </r>
  <r>
    <d v="2021-10-16T00:00:00"/>
    <s v="Drink"/>
    <n v="5"/>
    <m/>
    <x v="1"/>
    <x v="1"/>
    <x v="1"/>
    <x v="9"/>
    <x v="5"/>
    <n v="-5"/>
    <x v="9"/>
  </r>
  <r>
    <d v="2021-10-16T00:00:00"/>
    <s v="Cinemas"/>
    <n v="48.8"/>
    <m/>
    <x v="6"/>
    <x v="4"/>
    <x v="1"/>
    <x v="9"/>
    <x v="5"/>
    <n v="-48.8"/>
    <x v="9"/>
  </r>
  <r>
    <d v="2021-10-16T00:00:00"/>
    <s v="Fashionistas"/>
    <n v="106.70000000000002"/>
    <m/>
    <x v="7"/>
    <x v="4"/>
    <x v="1"/>
    <x v="9"/>
    <x v="5"/>
    <n v="-106.70000000000002"/>
    <x v="9"/>
  </r>
  <r>
    <d v="2021-10-16T00:00:00"/>
    <s v="Burger"/>
    <n v="61.1"/>
    <m/>
    <x v="8"/>
    <x v="1"/>
    <x v="1"/>
    <x v="9"/>
    <x v="5"/>
    <n v="-61.1"/>
    <x v="9"/>
  </r>
  <r>
    <d v="2021-10-17T00:00:00"/>
    <s v="Uba"/>
    <n v="37.200000000000003"/>
    <m/>
    <x v="9"/>
    <x v="3"/>
    <x v="1"/>
    <x v="9"/>
    <x v="6"/>
    <n v="-37.200000000000003"/>
    <x v="9"/>
  </r>
  <r>
    <d v="2021-10-18T00:00:00"/>
    <s v="Onlne earning"/>
    <m/>
    <n v="100"/>
    <x v="10"/>
    <x v="5"/>
    <x v="0"/>
    <x v="9"/>
    <x v="0"/>
    <n v="100"/>
    <x v="9"/>
  </r>
  <r>
    <d v="2021-10-18T00:00:00"/>
    <s v="Drink"/>
    <n v="5"/>
    <m/>
    <x v="1"/>
    <x v="1"/>
    <x v="1"/>
    <x v="9"/>
    <x v="0"/>
    <n v="-5"/>
    <x v="9"/>
  </r>
  <r>
    <d v="2021-10-19T00:00:00"/>
    <s v="Drink"/>
    <n v="5"/>
    <m/>
    <x v="1"/>
    <x v="1"/>
    <x v="1"/>
    <x v="9"/>
    <x v="1"/>
    <n v="-5"/>
    <x v="9"/>
  </r>
  <r>
    <d v="2021-10-19T00:00:00"/>
    <s v="Taken medication"/>
    <n v="75"/>
    <m/>
    <x v="16"/>
    <x v="7"/>
    <x v="1"/>
    <x v="9"/>
    <x v="1"/>
    <n v="-75"/>
    <x v="9"/>
  </r>
  <r>
    <d v="2021-10-19T00:00:00"/>
    <s v="Phone"/>
    <n v="40"/>
    <m/>
    <x v="12"/>
    <x v="2"/>
    <x v="1"/>
    <x v="9"/>
    <x v="1"/>
    <n v="-40"/>
    <x v="9"/>
  </r>
  <r>
    <d v="2021-10-20T00:00:00"/>
    <s v="Sallah give away"/>
    <n v="54.1"/>
    <m/>
    <x v="13"/>
    <x v="4"/>
    <x v="1"/>
    <x v="9"/>
    <x v="2"/>
    <n v="-54.1"/>
    <x v="9"/>
  </r>
  <r>
    <d v="2021-10-20T00:00:00"/>
    <s v="Online streaming"/>
    <n v="35"/>
    <m/>
    <x v="6"/>
    <x v="4"/>
    <x v="1"/>
    <x v="9"/>
    <x v="2"/>
    <n v="-35"/>
    <x v="9"/>
  </r>
  <r>
    <d v="2021-10-20T00:00:00"/>
    <s v="Drink"/>
    <n v="5"/>
    <m/>
    <x v="1"/>
    <x v="1"/>
    <x v="1"/>
    <x v="9"/>
    <x v="2"/>
    <n v="-5"/>
    <x v="9"/>
  </r>
  <r>
    <d v="2021-10-21T00:00:00"/>
    <s v="Drink"/>
    <n v="5"/>
    <m/>
    <x v="1"/>
    <x v="1"/>
    <x v="1"/>
    <x v="9"/>
    <x v="3"/>
    <n v="-5"/>
    <x v="9"/>
  </r>
  <r>
    <d v="2021-10-22T00:00:00"/>
    <s v="Drink"/>
    <n v="5"/>
    <m/>
    <x v="1"/>
    <x v="1"/>
    <x v="1"/>
    <x v="9"/>
    <x v="4"/>
    <n v="-5"/>
    <x v="9"/>
  </r>
  <r>
    <d v="2021-10-22T00:00:00"/>
    <s v="Green's"/>
    <n v="178.9"/>
    <m/>
    <x v="4"/>
    <x v="2"/>
    <x v="1"/>
    <x v="9"/>
    <x v="4"/>
    <n v="-178.9"/>
    <x v="9"/>
  </r>
  <r>
    <d v="2021-10-23T00:00:00"/>
    <s v="Suya"/>
    <n v="46.2"/>
    <m/>
    <x v="8"/>
    <x v="1"/>
    <x v="1"/>
    <x v="9"/>
    <x v="5"/>
    <n v="-46.2"/>
    <x v="9"/>
  </r>
  <r>
    <d v="2021-10-24T00:00:00"/>
    <s v="Oha soup/White soup"/>
    <n v="21.099999999999998"/>
    <m/>
    <x v="8"/>
    <x v="1"/>
    <x v="1"/>
    <x v="9"/>
    <x v="6"/>
    <n v="-21.099999999999998"/>
    <x v="9"/>
  </r>
  <r>
    <d v="2021-10-25T00:00:00"/>
    <s v="Orphanage"/>
    <n v="55"/>
    <m/>
    <x v="14"/>
    <x v="6"/>
    <x v="1"/>
    <x v="9"/>
    <x v="0"/>
    <n v="-55"/>
    <x v="9"/>
  </r>
  <r>
    <d v="2021-10-25T00:00:00"/>
    <s v="Fuel"/>
    <n v="71.500000000000028"/>
    <m/>
    <x v="15"/>
    <x v="3"/>
    <x v="1"/>
    <x v="9"/>
    <x v="0"/>
    <n v="-71.500000000000028"/>
    <x v="9"/>
  </r>
  <r>
    <d v="2021-10-25T00:00:00"/>
    <s v="Drink"/>
    <n v="5"/>
    <m/>
    <x v="1"/>
    <x v="1"/>
    <x v="1"/>
    <x v="9"/>
    <x v="0"/>
    <n v="-5"/>
    <x v="9"/>
  </r>
  <r>
    <d v="2021-10-26T00:00:00"/>
    <s v="Drink"/>
    <n v="5"/>
    <m/>
    <x v="1"/>
    <x v="1"/>
    <x v="1"/>
    <x v="9"/>
    <x v="1"/>
    <n v="-5"/>
    <x v="9"/>
  </r>
  <r>
    <d v="2021-10-27T00:00:00"/>
    <s v="Drink"/>
    <n v="5"/>
    <m/>
    <x v="1"/>
    <x v="1"/>
    <x v="1"/>
    <x v="9"/>
    <x v="2"/>
    <n v="-5"/>
    <x v="9"/>
  </r>
  <r>
    <d v="2021-10-28T00:00:00"/>
    <s v="Drink"/>
    <n v="5"/>
    <m/>
    <x v="1"/>
    <x v="1"/>
    <x v="1"/>
    <x v="9"/>
    <x v="3"/>
    <n v="-5"/>
    <x v="9"/>
  </r>
  <r>
    <d v="2021-10-29T00:00:00"/>
    <s v="Drink"/>
    <n v="5"/>
    <m/>
    <x v="1"/>
    <x v="1"/>
    <x v="1"/>
    <x v="9"/>
    <x v="4"/>
    <n v="-5"/>
    <x v="9"/>
  </r>
  <r>
    <d v="2021-10-29T00:00:00"/>
    <s v="Green's"/>
    <n v="189"/>
    <m/>
    <x v="4"/>
    <x v="2"/>
    <x v="1"/>
    <x v="9"/>
    <x v="4"/>
    <n v="-189"/>
    <x v="9"/>
  </r>
  <r>
    <d v="2021-10-30T00:00:00"/>
    <s v="Trainers"/>
    <n v="133.80000000000001"/>
    <m/>
    <x v="7"/>
    <x v="4"/>
    <x v="1"/>
    <x v="9"/>
    <x v="5"/>
    <n v="-133.80000000000001"/>
    <x v="9"/>
  </r>
  <r>
    <d v="2021-10-30T00:00:00"/>
    <s v="Hangingout/Ticket"/>
    <n v="184.39999999999998"/>
    <m/>
    <x v="6"/>
    <x v="4"/>
    <x v="1"/>
    <x v="9"/>
    <x v="5"/>
    <n v="-184.39999999999998"/>
    <x v="9"/>
  </r>
  <r>
    <d v="2021-10-31T00:00:00"/>
    <s v="Fashionistas"/>
    <n v="154.49999999999997"/>
    <m/>
    <x v="7"/>
    <x v="4"/>
    <x v="1"/>
    <x v="9"/>
    <x v="6"/>
    <n v="-154.49999999999997"/>
    <x v="9"/>
  </r>
  <r>
    <d v="2021-10-31T00:00:00"/>
    <s v="Uba"/>
    <n v="32.1"/>
    <m/>
    <x v="9"/>
    <x v="3"/>
    <x v="1"/>
    <x v="9"/>
    <x v="6"/>
    <n v="-32.1"/>
    <x v="9"/>
  </r>
  <r>
    <d v="2021-10-31T00:00:00"/>
    <s v="Foodary"/>
    <n v="15"/>
    <m/>
    <x v="8"/>
    <x v="1"/>
    <x v="1"/>
    <x v="9"/>
    <x v="6"/>
    <n v="-15"/>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04ADE9-B6BD-4466-97B8-DAFAAF7BA7AC}" name="PivotTable1"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4:H13" firstHeaderRow="1" firstDataRow="1" firstDataCol="1"/>
  <pivotFields count="11">
    <pivotField compact="0" numFmtId="164" outline="0" showAll="0"/>
    <pivotField compact="0" outline="0" showAll="0"/>
    <pivotField compact="0" outline="0" showAll="0"/>
    <pivotField compact="0" outline="0" showAll="0"/>
    <pivotField compact="0" outline="0" showAll="0"/>
    <pivotField axis="axisRow" compact="0" outline="0" showAll="0">
      <items count="9">
        <item x="0"/>
        <item x="5"/>
        <item x="2"/>
        <item x="4"/>
        <item x="3"/>
        <item x="1"/>
        <item x="6"/>
        <item x="7"/>
        <item t="default"/>
      </items>
    </pivotField>
    <pivotField compact="0" outline="0" showAll="0"/>
    <pivotField compact="0" outline="0" showAll="0">
      <items count="11">
        <item h="1" x="0"/>
        <item h="1" x="1"/>
        <item h="1" x="2"/>
        <item h="1" x="3"/>
        <item h="1" x="4"/>
        <item h="1" x="5"/>
        <item x="6"/>
        <item h="1" x="7"/>
        <item h="1" x="8"/>
        <item h="1" x="9"/>
        <item t="default"/>
      </items>
    </pivotField>
    <pivotField compact="0" numFmtId="165" outline="0" showAll="0"/>
    <pivotField dataField="1" compact="0" outline="0" showAll="0"/>
    <pivotField compact="0" outline="0" showAll="0"/>
  </pivotFields>
  <rowFields count="1">
    <field x="5"/>
  </rowFields>
  <rowItems count="9">
    <i>
      <x/>
    </i>
    <i>
      <x v="1"/>
    </i>
    <i>
      <x v="2"/>
    </i>
    <i>
      <x v="3"/>
    </i>
    <i>
      <x v="4"/>
    </i>
    <i>
      <x v="5"/>
    </i>
    <i>
      <x v="6"/>
    </i>
    <i>
      <x v="7"/>
    </i>
    <i t="grand">
      <x/>
    </i>
  </rowItems>
  <colItems count="1">
    <i/>
  </colItems>
  <dataFields count="1">
    <dataField name="Sum of Amount" fld="9" baseField="0" baseItem="0" numFmtId="166"/>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74CFFE5-58DF-4EFD-8CB8-75DC91615A81}" name="PivotTable2" cacheId="2"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location ref="H109:H119" firstHeaderRow="1" firstDataRow="1" firstDataCol="1"/>
  <pivotFields count="11">
    <pivotField compact="0" numFmtId="164" outline="0" showAll="0"/>
    <pivotField compact="0" outline="0" showAll="0"/>
    <pivotField compact="0" outline="0" showAll="0"/>
    <pivotField compact="0" outline="0" showAll="0"/>
    <pivotField compact="0" outline="0" showAll="0"/>
    <pivotField compact="0" outline="0" showAll="0">
      <items count="9">
        <item x="0"/>
        <item x="5"/>
        <item x="2"/>
        <item x="4"/>
        <item x="3"/>
        <item x="1"/>
        <item x="6"/>
        <item x="7"/>
        <item t="default"/>
      </items>
    </pivotField>
    <pivotField compact="0" outline="0" showAll="0"/>
    <pivotField axis="axisRow" compact="0" outline="0" showAll="0">
      <items count="11">
        <item x="0"/>
        <item x="1"/>
        <item x="2"/>
        <item x="3"/>
        <item x="4"/>
        <item x="5"/>
        <item x="6"/>
        <item x="7"/>
        <item x="8"/>
        <item x="9"/>
        <item t="default"/>
      </items>
    </pivotField>
    <pivotField compact="0" numFmtId="165" outline="0" showAll="0"/>
    <pivotField compact="0" outline="0" showAll="0"/>
    <pivotField compact="0" outline="0" showAll="0"/>
  </pivotFields>
  <rowFields count="1">
    <field x="7"/>
  </rowFields>
  <rowItems count="10">
    <i>
      <x/>
    </i>
    <i>
      <x v="1"/>
    </i>
    <i>
      <x v="2"/>
    </i>
    <i>
      <x v="3"/>
    </i>
    <i>
      <x v="4"/>
    </i>
    <i>
      <x v="5"/>
    </i>
    <i>
      <x v="6"/>
    </i>
    <i>
      <x v="7"/>
    </i>
    <i>
      <x v="8"/>
    </i>
    <i>
      <x v="9"/>
    </i>
  </rowItems>
  <colItems count="1">
    <i/>
  </colItem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E789FB-4FE9-447F-A857-19336C37CB40}" name="PivotTable4"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9">
  <location ref="G17:H23" firstHeaderRow="1" firstDataRow="1" firstDataCol="1" rowPageCount="1" colPageCount="1"/>
  <pivotFields count="11">
    <pivotField compact="0" numFmtId="164" outline="0" showAll="0"/>
    <pivotField compact="0" outline="0" showAll="0"/>
    <pivotField dataField="1" compact="0" outline="0" showAll="0"/>
    <pivotField compact="0" outline="0" showAll="0"/>
    <pivotField axis="axisRow" compact="0" outline="0" showAll="0" measureFilter="1" sortType="descending">
      <items count="19">
        <item x="3"/>
        <item x="7"/>
        <item x="1"/>
        <item x="0"/>
        <item x="16"/>
        <item x="14"/>
        <item x="6"/>
        <item x="15"/>
        <item x="17"/>
        <item x="5"/>
        <item x="13"/>
        <item x="4"/>
        <item x="12"/>
        <item x="2"/>
        <item x="8"/>
        <item x="9"/>
        <item x="11"/>
        <item x="10"/>
        <item t="default"/>
      </items>
      <autoSortScope>
        <pivotArea dataOnly="0" outline="0" fieldPosition="0">
          <references count="1">
            <reference field="4294967294" count="1" selected="0">
              <x v="0"/>
            </reference>
          </references>
        </pivotArea>
      </autoSortScope>
    </pivotField>
    <pivotField compact="0" outline="0" showAll="0"/>
    <pivotField axis="axisPage" compact="0" outline="0" multipleItemSelectionAllowed="1" showAll="0">
      <items count="3">
        <item x="1"/>
        <item h="1" x="0"/>
        <item t="default"/>
      </items>
    </pivotField>
    <pivotField compact="0" outline="0" showAll="0">
      <items count="11">
        <item x="0"/>
        <item x="1"/>
        <item x="2"/>
        <item x="3"/>
        <item x="4"/>
        <item x="5"/>
        <item x="6"/>
        <item x="7"/>
        <item x="8"/>
        <item x="9"/>
        <item t="default"/>
      </items>
    </pivotField>
    <pivotField compact="0" numFmtId="165" outline="0" showAll="0"/>
    <pivotField compact="0" outline="0" showAll="0"/>
    <pivotField compact="0" outline="0" showAll="0"/>
  </pivotFields>
  <rowFields count="1">
    <field x="4"/>
  </rowFields>
  <rowItems count="6">
    <i>
      <x v="13"/>
    </i>
    <i>
      <x v="11"/>
    </i>
    <i>
      <x v="1"/>
    </i>
    <i>
      <x v="6"/>
    </i>
    <i>
      <x/>
    </i>
    <i t="grand">
      <x/>
    </i>
  </rowItems>
  <colItems count="1">
    <i/>
  </colItems>
  <pageFields count="1">
    <pageField fld="6" hier="-1"/>
  </pageFields>
  <dataFields count="1">
    <dataField name="Sum of Debit" fld="2" baseField="0" baseItem="0"/>
  </dataFields>
  <formats count="1">
    <format dxfId="2">
      <pivotArea outline="0" collapsedLevelsAreSubtotals="1" fieldPosition="0"/>
    </format>
  </formats>
  <chartFormats count="2">
    <chartFormat chart="14"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9C92CA6-59D6-4BB7-82A8-F7E3AD9D91C0}" name="PivotTable8"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68:H75" firstHeaderRow="1" firstDataRow="1" firstDataCol="1" rowPageCount="1" colPageCount="1"/>
  <pivotFields count="11">
    <pivotField compact="0" numFmtId="164" outline="0" showAll="0"/>
    <pivotField compact="0" outline="0" showAll="0"/>
    <pivotField dataField="1" compact="0" outline="0" showAll="0"/>
    <pivotField compact="0" outline="0" showAll="0"/>
    <pivotField compact="0" outline="0" showAll="0"/>
    <pivotField axis="axisRow" compact="0" outline="0" showAll="0">
      <items count="9">
        <item x="0"/>
        <item x="5"/>
        <item x="2"/>
        <item x="4"/>
        <item x="3"/>
        <item x="1"/>
        <item x="6"/>
        <item x="7"/>
        <item t="default"/>
      </items>
    </pivotField>
    <pivotField axis="axisPage" compact="0" outline="0" multipleItemSelectionAllowed="1" showAll="0">
      <items count="3">
        <item x="1"/>
        <item h="1" x="0"/>
        <item t="default"/>
      </items>
    </pivotField>
    <pivotField compact="0" outline="0" showAll="0">
      <items count="11">
        <item h="1" x="0"/>
        <item h="1" x="1"/>
        <item h="1" x="2"/>
        <item h="1" x="3"/>
        <item h="1" x="4"/>
        <item h="1" x="5"/>
        <item x="6"/>
        <item h="1" x="7"/>
        <item h="1" x="8"/>
        <item h="1" x="9"/>
        <item t="default"/>
      </items>
    </pivotField>
    <pivotField compact="0" numFmtId="165" outline="0" showAll="0"/>
    <pivotField compact="0" outline="0" showAll="0"/>
    <pivotField compact="0" outline="0" showAll="0"/>
  </pivotFields>
  <rowFields count="1">
    <field x="5"/>
  </rowFields>
  <rowItems count="7">
    <i>
      <x v="2"/>
    </i>
    <i>
      <x v="3"/>
    </i>
    <i>
      <x v="4"/>
    </i>
    <i>
      <x v="5"/>
    </i>
    <i>
      <x v="6"/>
    </i>
    <i>
      <x v="7"/>
    </i>
    <i t="grand">
      <x/>
    </i>
  </rowItems>
  <colItems count="1">
    <i/>
  </colItems>
  <pageFields count="1">
    <pageField fld="6" hier="-1"/>
  </pageFields>
  <dataFields count="1">
    <dataField name="Sum of Debit" fld="2"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308803-23C5-4519-B8E6-F5ABAE57E615}" name="PivotTable6"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9">
  <location ref="G40:H44" firstHeaderRow="1" firstDataRow="1" firstDataCol="1" rowPageCount="1" colPageCount="1"/>
  <pivotFields count="11">
    <pivotField compact="0" numFmtId="164" outline="0" showAll="0"/>
    <pivotField compact="0" outline="0" showAll="0"/>
    <pivotField compact="0" outline="0" showAll="0"/>
    <pivotField compact="0" outline="0" showAll="0"/>
    <pivotField axis="axisRow" compact="0" outline="0" showAll="0">
      <items count="19">
        <item x="3"/>
        <item x="7"/>
        <item x="1"/>
        <item n="DWD" x="0"/>
        <item x="16"/>
        <item x="14"/>
        <item x="6"/>
        <item x="15"/>
        <item x="17"/>
        <item x="5"/>
        <item x="13"/>
        <item x="4"/>
        <item x="12"/>
        <item x="2"/>
        <item x="8"/>
        <item x="9"/>
        <item x="11"/>
        <item x="10"/>
        <item t="default"/>
      </items>
    </pivotField>
    <pivotField compact="0" outline="0" showAll="0"/>
    <pivotField axis="axisPage" compact="0" outline="0" multipleItemSelectionAllowed="1" showAll="0">
      <items count="3">
        <item h="1" x="1"/>
        <item x="0"/>
        <item t="default"/>
      </items>
    </pivotField>
    <pivotField compact="0" outline="0" showAll="0">
      <items count="11">
        <item h="1" x="0"/>
        <item h="1" x="1"/>
        <item h="1" x="2"/>
        <item h="1" x="3"/>
        <item h="1" x="4"/>
        <item h="1" x="5"/>
        <item x="6"/>
        <item h="1" x="7"/>
        <item h="1" x="8"/>
        <item h="1" x="9"/>
        <item t="default"/>
      </items>
    </pivotField>
    <pivotField compact="0" numFmtId="165" outline="0" showAll="0"/>
    <pivotField dataField="1" compact="0" outline="0" showAll="0"/>
    <pivotField compact="0" outline="0" showAll="0"/>
  </pivotFields>
  <rowFields count="1">
    <field x="4"/>
  </rowFields>
  <rowItems count="4">
    <i>
      <x v="3"/>
    </i>
    <i>
      <x v="16"/>
    </i>
    <i>
      <x v="17"/>
    </i>
    <i t="grand">
      <x/>
    </i>
  </rowItems>
  <colItems count="1">
    <i/>
  </colItems>
  <pageFields count="1">
    <pageField fld="6" hier="-1"/>
  </pageFields>
  <dataFields count="1">
    <dataField name="Sum of Amount" fld="9" baseField="0" baseItem="0" numFmtId="166"/>
  </dataFields>
  <formats count="1">
    <format dxfId="4">
      <pivotArea outline="0" collapsedLevelsAreSubtotals="1" fieldPosition="0"/>
    </format>
  </formats>
  <chartFormats count="10">
    <chartFormat chart="0" format="2"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4" count="1" selected="0">
            <x v="3"/>
          </reference>
        </references>
      </pivotArea>
    </chartFormat>
    <chartFormat chart="8" format="7">
      <pivotArea type="data" outline="0" fieldPosition="0">
        <references count="2">
          <reference field="4294967294" count="1" selected="0">
            <x v="0"/>
          </reference>
          <reference field="4" count="1" selected="0">
            <x v="16"/>
          </reference>
        </references>
      </pivotArea>
    </chartFormat>
    <chartFormat chart="8" format="8">
      <pivotArea type="data" outline="0" fieldPosition="0">
        <references count="2">
          <reference field="4294967294" count="1" selected="0">
            <x v="0"/>
          </reference>
          <reference field="4" count="1" selected="0">
            <x v="17"/>
          </reference>
        </references>
      </pivotArea>
    </chartFormat>
    <chartFormat chart="4" format="1">
      <pivotArea type="data" outline="0" fieldPosition="0">
        <references count="2">
          <reference field="4294967294" count="1" selected="0">
            <x v="0"/>
          </reference>
          <reference field="4" count="1" selected="0">
            <x v="17"/>
          </reference>
        </references>
      </pivotArea>
    </chartFormat>
    <chartFormat chart="4" format="2">
      <pivotArea type="data" outline="0" fieldPosition="0">
        <references count="2">
          <reference field="4294967294" count="1" selected="0">
            <x v="0"/>
          </reference>
          <reference field="4" count="1" selected="0">
            <x v="3"/>
          </reference>
        </references>
      </pivotArea>
    </chartFormat>
    <chartFormat chart="4" format="3">
      <pivotArea type="data" outline="0" fieldPosition="0">
        <references count="2">
          <reference field="4294967294" count="1" selected="0">
            <x v="0"/>
          </reference>
          <reference field="4"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24EBA9-D4DA-419F-B520-DB1FC85ACC2D}" name="PivotTable10"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80:K91" firstHeaderRow="1" firstDataRow="1" firstDataCol="1"/>
  <pivotFields count="11">
    <pivotField compact="0" numFmtId="164" outline="0" showAll="0"/>
    <pivotField compact="0" outline="0" showAll="0"/>
    <pivotField compact="0" outline="0" showAll="0"/>
    <pivotField compact="0" outline="0" showAll="0"/>
    <pivotField compact="0" outline="0" showAll="0"/>
    <pivotField compact="0" outline="0" showAll="0">
      <items count="9">
        <item x="6"/>
        <item x="1"/>
        <item x="4"/>
        <item x="2"/>
        <item x="7"/>
        <item x="5"/>
        <item x="0"/>
        <item x="3"/>
        <item t="default"/>
      </items>
    </pivotField>
    <pivotField compact="0" outline="0" showAll="0"/>
    <pivotField compact="0" outline="0" showAll="0">
      <items count="11">
        <item x="0"/>
        <item x="1"/>
        <item x="2"/>
        <item x="3"/>
        <item x="4"/>
        <item x="5"/>
        <item x="6"/>
        <item x="7"/>
        <item x="8"/>
        <item x="9"/>
        <item t="default"/>
      </items>
    </pivotField>
    <pivotField compact="0" numFmtId="165" outline="0" showAll="0"/>
    <pivotField dataField="1" compact="0" outline="0" showAll="0"/>
    <pivotField axis="axisRow" compact="0" outline="0" showAll="0">
      <items count="11">
        <item x="0"/>
        <item x="1"/>
        <item x="2"/>
        <item x="3"/>
        <item x="4"/>
        <item x="5"/>
        <item x="6"/>
        <item x="7"/>
        <item x="8"/>
        <item x="9"/>
        <item t="default"/>
      </items>
    </pivotField>
  </pivotFields>
  <rowFields count="1">
    <field x="10"/>
  </rowFields>
  <rowItems count="11">
    <i>
      <x/>
    </i>
    <i>
      <x v="1"/>
    </i>
    <i>
      <x v="2"/>
    </i>
    <i>
      <x v="3"/>
    </i>
    <i>
      <x v="4"/>
    </i>
    <i>
      <x v="5"/>
    </i>
    <i>
      <x v="6"/>
    </i>
    <i>
      <x v="7"/>
    </i>
    <i>
      <x v="8"/>
    </i>
    <i>
      <x v="9"/>
    </i>
    <i t="grand">
      <x/>
    </i>
  </rowItems>
  <colItems count="1">
    <i/>
  </colItems>
  <dataFields count="1">
    <dataField name="Sum of Amount" fld="9"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505046-4693-4AF5-B9DC-E30E07B54DD7}" name="PivotTable7" cacheId="2"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5">
  <location ref="G52:M61" firstHeaderRow="1" firstDataRow="2" firstDataCol="1" rowPageCount="1" colPageCount="1"/>
  <pivotFields count="11">
    <pivotField compact="0" numFmtId="164" outline="0" showAll="0"/>
    <pivotField compact="0" outline="0" showAll="0"/>
    <pivotField dataField="1" compact="0" outline="0" showAll="0"/>
    <pivotField compact="0" outline="0" showAll="0"/>
    <pivotField compact="0" outline="0" showAll="0"/>
    <pivotField axis="axisCol" compact="0" outline="0" showAll="0">
      <items count="9">
        <item x="0"/>
        <item x="5"/>
        <item x="2"/>
        <item x="4"/>
        <item x="3"/>
        <item x="1"/>
        <item x="6"/>
        <item x="7"/>
        <item t="default"/>
      </items>
    </pivotField>
    <pivotField axis="axisPage" compact="0" outline="0" multipleItemSelectionAllowed="1" showAll="0">
      <items count="3">
        <item x="1"/>
        <item h="1" x="0"/>
        <item t="default"/>
      </items>
    </pivotField>
    <pivotField compact="0" outline="0" showAll="0">
      <items count="11">
        <item x="0"/>
        <item x="1"/>
        <item x="2"/>
        <item x="3"/>
        <item x="4"/>
        <item x="5"/>
        <item x="6"/>
        <item x="7"/>
        <item x="8"/>
        <item x="9"/>
        <item t="default"/>
      </items>
    </pivotField>
    <pivotField axis="axisRow" compact="0" numFmtId="165" outline="0" showAll="0">
      <items count="8">
        <item x="6"/>
        <item x="0"/>
        <item x="1"/>
        <item x="2"/>
        <item x="3"/>
        <item x="4"/>
        <item x="5"/>
        <item t="default"/>
      </items>
    </pivotField>
    <pivotField compact="0" outline="0" showAll="0"/>
    <pivotField compact="0" outline="0" showAll="0"/>
  </pivotFields>
  <rowFields count="1">
    <field x="8"/>
  </rowFields>
  <rowItems count="8">
    <i>
      <x/>
    </i>
    <i>
      <x v="1"/>
    </i>
    <i>
      <x v="2"/>
    </i>
    <i>
      <x v="3"/>
    </i>
    <i>
      <x v="4"/>
    </i>
    <i>
      <x v="5"/>
    </i>
    <i>
      <x v="6"/>
    </i>
    <i t="grand">
      <x/>
    </i>
  </rowItems>
  <colFields count="1">
    <field x="5"/>
  </colFields>
  <colItems count="6">
    <i>
      <x v="2"/>
    </i>
    <i>
      <x v="3"/>
    </i>
    <i>
      <x v="4"/>
    </i>
    <i>
      <x v="5"/>
    </i>
    <i>
      <x v="6"/>
    </i>
    <i>
      <x v="7"/>
    </i>
  </colItems>
  <pageFields count="1">
    <pageField fld="6" hier="-1"/>
  </pageFields>
  <dataFields count="1">
    <dataField name="Sum of Debit" fld="2" baseField="0" baseItem="0"/>
  </dataFields>
  <formats count="1">
    <format dxfId="6">
      <pivotArea outline="0" collapsedLevelsAreSubtotals="1" fieldPosition="0"/>
    </format>
  </formats>
  <chartFormats count="12">
    <chartFormat chart="0" format="0" series="1">
      <pivotArea type="data" outline="0" fieldPosition="0">
        <references count="2">
          <reference field="4294967294" count="1" selected="0">
            <x v="0"/>
          </reference>
          <reference field="5" count="1" selected="0">
            <x v="2"/>
          </reference>
        </references>
      </pivotArea>
    </chartFormat>
    <chartFormat chart="0" format="1" series="1">
      <pivotArea type="data" outline="0" fieldPosition="0">
        <references count="2">
          <reference field="4294967294" count="1" selected="0">
            <x v="0"/>
          </reference>
          <reference field="5" count="1" selected="0">
            <x v="3"/>
          </reference>
        </references>
      </pivotArea>
    </chartFormat>
    <chartFormat chart="0" format="2" series="1">
      <pivotArea type="data" outline="0" fieldPosition="0">
        <references count="2">
          <reference field="4294967294" count="1" selected="0">
            <x v="0"/>
          </reference>
          <reference field="5" count="1" selected="0">
            <x v="4"/>
          </reference>
        </references>
      </pivotArea>
    </chartFormat>
    <chartFormat chart="0" format="3" series="1">
      <pivotArea type="data" outline="0" fieldPosition="0">
        <references count="2">
          <reference field="4294967294" count="1" selected="0">
            <x v="0"/>
          </reference>
          <reference field="5" count="1" selected="0">
            <x v="5"/>
          </reference>
        </references>
      </pivotArea>
    </chartFormat>
    <chartFormat chart="0" format="4" series="1">
      <pivotArea type="data" outline="0" fieldPosition="0">
        <references count="2">
          <reference field="4294967294" count="1" selected="0">
            <x v="0"/>
          </reference>
          <reference field="5" count="1" selected="0">
            <x v="6"/>
          </reference>
        </references>
      </pivotArea>
    </chartFormat>
    <chartFormat chart="0" format="5" series="1">
      <pivotArea type="data" outline="0" fieldPosition="0">
        <references count="2">
          <reference field="4294967294" count="1" selected="0">
            <x v="0"/>
          </reference>
          <reference field="5" count="1" selected="0">
            <x v="7"/>
          </reference>
        </references>
      </pivotArea>
    </chartFormat>
    <chartFormat chart="3" format="12" series="1">
      <pivotArea type="data" outline="0" fieldPosition="0">
        <references count="2">
          <reference field="4294967294" count="1" selected="0">
            <x v="0"/>
          </reference>
          <reference field="5" count="1" selected="0">
            <x v="2"/>
          </reference>
        </references>
      </pivotArea>
    </chartFormat>
    <chartFormat chart="3" format="13" series="1">
      <pivotArea type="data" outline="0" fieldPosition="0">
        <references count="2">
          <reference field="4294967294" count="1" selected="0">
            <x v="0"/>
          </reference>
          <reference field="5" count="1" selected="0">
            <x v="3"/>
          </reference>
        </references>
      </pivotArea>
    </chartFormat>
    <chartFormat chart="3" format="14" series="1">
      <pivotArea type="data" outline="0" fieldPosition="0">
        <references count="2">
          <reference field="4294967294" count="1" selected="0">
            <x v="0"/>
          </reference>
          <reference field="5" count="1" selected="0">
            <x v="4"/>
          </reference>
        </references>
      </pivotArea>
    </chartFormat>
    <chartFormat chart="3" format="15" series="1">
      <pivotArea type="data" outline="0" fieldPosition="0">
        <references count="2">
          <reference field="4294967294" count="1" selected="0">
            <x v="0"/>
          </reference>
          <reference field="5" count="1" selected="0">
            <x v="5"/>
          </reference>
        </references>
      </pivotArea>
    </chartFormat>
    <chartFormat chart="3" format="16" series="1">
      <pivotArea type="data" outline="0" fieldPosition="0">
        <references count="2">
          <reference field="4294967294" count="1" selected="0">
            <x v="0"/>
          </reference>
          <reference field="5" count="1" selected="0">
            <x v="6"/>
          </reference>
        </references>
      </pivotArea>
    </chartFormat>
    <chartFormat chart="3" format="17" series="1">
      <pivotArea type="data" outline="0" fieldPosition="0">
        <references count="2">
          <reference field="4294967294" count="1" selected="0">
            <x v="0"/>
          </reference>
          <reference field="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60C4E1-847D-45D8-B6BD-475BEDD1CB6C}" name="PivotTable5"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G29:I30" firstHeaderRow="0" firstDataRow="1" firstDataCol="0"/>
  <pivotFields count="11">
    <pivotField compact="0" numFmtId="164"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items count="11">
        <item x="0"/>
        <item x="1"/>
        <item x="2"/>
        <item x="3"/>
        <item x="4"/>
        <item x="5"/>
        <item x="6"/>
        <item x="7"/>
        <item x="8"/>
        <item x="9"/>
        <item t="default"/>
      </items>
    </pivotField>
    <pivotField compact="0" numFmtId="165" outline="0" showAll="0"/>
    <pivotField dataField="1" compact="0" outline="0" showAll="0"/>
    <pivotField compact="0" outline="0" showAll="0"/>
  </pivotFields>
  <rowItems count="1">
    <i/>
  </rowItems>
  <colFields count="1">
    <field x="-2"/>
  </colFields>
  <colItems count="3">
    <i>
      <x/>
    </i>
    <i i="1">
      <x v="1"/>
    </i>
    <i i="2">
      <x v="2"/>
    </i>
  </colItems>
  <dataFields count="3">
    <dataField name="Sum of Debit" fld="2" baseField="0" baseItem="0"/>
    <dataField name="Sum of Credit" fld="3" baseField="0" baseItem="0"/>
    <dataField name="Sum of Amount" fld="9" baseField="0" baseItem="0" numFmtId="166"/>
  </dataFields>
  <formats count="1">
    <format dxfId="7">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03B9F46-B9DC-4DB0-ADB3-74851126100E}" name="PivotTable9"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80:H91" firstHeaderRow="1" firstDataRow="1" firstDataCol="1"/>
  <pivotFields count="11">
    <pivotField compact="0" numFmtId="164" outline="0" showAll="0"/>
    <pivotField compact="0" outline="0" showAll="0"/>
    <pivotField dataField="1" compact="0" outline="0" showAll="0"/>
    <pivotField compact="0" outline="0" showAll="0"/>
    <pivotField compact="0" outline="0" showAll="0"/>
    <pivotField compact="0" outline="0" showAll="0">
      <items count="9">
        <item x="6"/>
        <item x="1"/>
        <item x="4"/>
        <item x="2"/>
        <item x="7"/>
        <item x="5"/>
        <item x="0"/>
        <item x="3"/>
        <item t="default"/>
      </items>
    </pivotField>
    <pivotField compact="0" outline="0" showAll="0"/>
    <pivotField compact="0" outline="0" showAll="0">
      <items count="11">
        <item h="1" x="0"/>
        <item h="1" x="1"/>
        <item h="1" x="2"/>
        <item h="1" x="3"/>
        <item h="1" x="4"/>
        <item x="5"/>
        <item h="1" x="6"/>
        <item h="1" x="7"/>
        <item h="1" x="8"/>
        <item h="1" x="9"/>
        <item t="default"/>
      </items>
    </pivotField>
    <pivotField compact="0" numFmtId="165" outline="0" showAll="0"/>
    <pivotField compact="0" outline="0" showAll="0"/>
    <pivotField axis="axisRow" compact="0" outline="0" showAll="0">
      <items count="11">
        <item x="0"/>
        <item x="1"/>
        <item x="2"/>
        <item x="3"/>
        <item x="4"/>
        <item x="5"/>
        <item x="6"/>
        <item x="7"/>
        <item x="8"/>
        <item x="9"/>
        <item t="default"/>
      </items>
    </pivotField>
  </pivotFields>
  <rowFields count="1">
    <field x="10"/>
  </rowFields>
  <rowItems count="11">
    <i>
      <x/>
    </i>
    <i>
      <x v="1"/>
    </i>
    <i>
      <x v="2"/>
    </i>
    <i>
      <x v="3"/>
    </i>
    <i>
      <x v="4"/>
    </i>
    <i>
      <x v="5"/>
    </i>
    <i>
      <x v="6"/>
    </i>
    <i>
      <x v="7"/>
    </i>
    <i>
      <x v="8"/>
    </i>
    <i>
      <x v="9"/>
    </i>
    <i t="grand">
      <x/>
    </i>
  </rowItems>
  <colItems count="1">
    <i/>
  </colItems>
  <dataFields count="1">
    <dataField name="Sum of Debit" fld="2"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F89F7C9E-C14F-48C7-93AD-F294AFD7989C}" sourceName="Month Number">
  <pivotTables>
    <pivotTable tabId="4" name="PivotTable10"/>
    <pivotTable tabId="4" name="PivotTable4"/>
    <pivotTable tabId="4" name="PivotTable5"/>
    <pivotTable tabId="4" name="PivotTable7"/>
    <pivotTable tabId="4" name="PivotTable2"/>
  </pivotTables>
  <data>
    <tabular pivotCacheId="1879713630">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2F93430C-7621-46E2-ACA5-B525ABFFACF0}" sourceName="Category">
  <pivotTables>
    <pivotTable tabId="4" name="PivotTable9"/>
  </pivotTables>
  <data>
    <tabular pivotCacheId="1879713630">
      <items count="8">
        <i x="6" s="1"/>
        <i x="1" s="1"/>
        <i x="4" s="1"/>
        <i x="2" s="1"/>
        <i x="7" s="1"/>
        <i x="3" s="1"/>
        <i x="5"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umber 1" xr10:uid="{AA311DEA-4D9F-46AE-82C0-ABC1319F5619}" cache="Slicer_Month_Number" caption="Month Number" columnCount="4" showCaption="0" style="SlicerStyleLight1 2" rowHeight="234950"/>
  <slicer name="Category 1" xr10:uid="{51CEE240-2DA8-41A0-8A60-12086D785194}" cache="Slicer_Category1" caption="Category" columnCount="2" showCaption="0" style="SlicerStyleLight1 2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umber" xr10:uid="{659660EC-B44F-4494-AACE-520B0F0D3F24}" cache="Slicer_Month_Number" caption="Month Number" rowHeight="234950"/>
  <slicer name="Category" xr10:uid="{9E5DEC3E-3020-445E-83E8-C01246836B79}" cache="Slicer_Category1" caption="Catego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AB76AD-611F-4B4A-9E37-4659713015E2}" name="Table1" displayName="Table1" ref="A1:K487" totalsRowShown="0">
  <autoFilter ref="A1:K487" xr:uid="{2BAB76AD-611F-4B4A-9E37-4659713015E2}">
    <filterColumn colId="7">
      <filters>
        <filter val="8"/>
      </filters>
    </filterColumn>
  </autoFilter>
  <tableColumns count="11">
    <tableColumn id="1" xr3:uid="{5B7562E0-8BDA-4355-A86C-A3262B0AA5F2}" name="Date" dataDxfId="13"/>
    <tableColumn id="2" xr3:uid="{9F5BB7CC-7258-44CA-B89B-50F107BE51BF}" name="Description"/>
    <tableColumn id="3" xr3:uid="{E43B5ED0-1BFF-4204-895E-1DC52A7D143A}" name="Debit"/>
    <tableColumn id="4" xr3:uid="{5111FA6D-E7A4-4159-8CB9-6FBC00F157E2}" name="Credit"/>
    <tableColumn id="5" xr3:uid="{655F3E89-E3A1-42C0-9D78-344A7C45E5CA}" name="Sub-category"/>
    <tableColumn id="6" xr3:uid="{EC1AE76C-9F7C-44A2-A85B-1408DE40E586}" name="Category"/>
    <tableColumn id="7" xr3:uid="{AAEAD47C-C954-4D43-A9FD-060E766EB979}" name="Category Type"/>
    <tableColumn id="8" xr3:uid="{56B4C9ED-91DC-4E42-8187-3C487FC7AEE1}" name="Month Number" dataDxfId="12">
      <calculatedColumnFormula>MONTH(Table1[[#This Row],[Date]])</calculatedColumnFormula>
    </tableColumn>
    <tableColumn id="9" xr3:uid="{638AAEA4-B5FB-4C7C-A6C4-A8B5ACEAFD38}" name="Weekday" dataDxfId="11">
      <calculatedColumnFormula>WEEKDAY(Table1[[#This Row],[Date]])</calculatedColumnFormula>
    </tableColumn>
    <tableColumn id="10" xr3:uid="{D24F8A24-4E71-4ED4-A6A4-2C0790ACD235}" name="Amount" dataDxfId="10">
      <calculatedColumnFormula>Table1[[#This Row],[Credit]]-Table1[[#This Row],[Debit]]</calculatedColumnFormula>
    </tableColumn>
    <tableColumn id="11" xr3:uid="{DEB315FA-9C4B-4A4F-8451-AAAD067C1AC8}" name="Month Name" dataDxfId="9">
      <calculatedColumnFormula>TEXT(Table1[[#This Row],[Date]], "mmm")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2.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dimension ref="A1:K487"/>
  <sheetViews>
    <sheetView tabSelected="1" workbookViewId="0">
      <selection activeCell="N359" sqref="N359"/>
    </sheetView>
  </sheetViews>
  <sheetFormatPr defaultRowHeight="14.4" x14ac:dyDescent="0.3"/>
  <cols>
    <col min="1" max="1" width="8.6640625" style="1" customWidth="1"/>
    <col min="2" max="2" width="17.21875" customWidth="1"/>
    <col min="5" max="5" width="16.6640625" customWidth="1"/>
    <col min="6" max="6" width="14.6640625" customWidth="1"/>
    <col min="7" max="7" width="15" customWidth="1"/>
    <col min="8" max="8" width="16" customWidth="1"/>
    <col min="9" max="9" width="13.109375" style="2" customWidth="1"/>
    <col min="11" max="11" width="14.5546875" style="7" customWidth="1"/>
  </cols>
  <sheetData>
    <row r="1" spans="1:11" x14ac:dyDescent="0.3">
      <c r="A1" s="1" t="s">
        <v>0</v>
      </c>
      <c r="B1" t="s">
        <v>1</v>
      </c>
      <c r="C1" t="s">
        <v>2</v>
      </c>
      <c r="D1" t="s">
        <v>3</v>
      </c>
      <c r="E1" t="s">
        <v>4</v>
      </c>
      <c r="F1" t="s">
        <v>5</v>
      </c>
      <c r="G1" t="s">
        <v>6</v>
      </c>
      <c r="H1" t="s">
        <v>61</v>
      </c>
      <c r="I1" s="2" t="s">
        <v>62</v>
      </c>
      <c r="J1" t="s">
        <v>63</v>
      </c>
      <c r="K1" s="7" t="s">
        <v>77</v>
      </c>
    </row>
    <row r="2" spans="1:11" hidden="1" x14ac:dyDescent="0.3">
      <c r="A2" s="1">
        <v>44200</v>
      </c>
      <c r="B2" t="s">
        <v>7</v>
      </c>
      <c r="D2">
        <v>5000</v>
      </c>
      <c r="E2" t="s">
        <v>8</v>
      </c>
      <c r="F2" t="s">
        <v>9</v>
      </c>
      <c r="G2" t="s">
        <v>10</v>
      </c>
      <c r="H2">
        <f>MONTH(Table1[[#This Row],[Date]])</f>
        <v>1</v>
      </c>
      <c r="I2" s="2">
        <f>WEEKDAY(Table1[[#This Row],[Date]])</f>
        <v>2</v>
      </c>
      <c r="J2">
        <f>Table1[[#This Row],[Credit]]-Table1[[#This Row],[Debit]]</f>
        <v>5000</v>
      </c>
      <c r="K2" s="7" t="str">
        <f>TEXT(Table1[[#This Row],[Date]], "mmm")</f>
        <v>Jan</v>
      </c>
    </row>
    <row r="3" spans="1:11" hidden="1" x14ac:dyDescent="0.3">
      <c r="A3" s="1">
        <v>44200</v>
      </c>
      <c r="B3" t="s">
        <v>11</v>
      </c>
      <c r="C3">
        <v>5</v>
      </c>
      <c r="E3" t="s">
        <v>12</v>
      </c>
      <c r="F3" t="s">
        <v>13</v>
      </c>
      <c r="G3" t="s">
        <v>14</v>
      </c>
      <c r="H3">
        <f>MONTH(Table1[[#This Row],[Date]])</f>
        <v>1</v>
      </c>
      <c r="I3" s="2">
        <f>WEEKDAY(Table1[[#This Row],[Date]])</f>
        <v>2</v>
      </c>
      <c r="J3">
        <f>Table1[[#This Row],[Credit]]-Table1[[#This Row],[Debit]]</f>
        <v>-5</v>
      </c>
      <c r="K3" s="7" t="str">
        <f>TEXT(Table1[[#This Row],[Date]], "mmm")</f>
        <v>Jan</v>
      </c>
    </row>
    <row r="4" spans="1:11" hidden="1" x14ac:dyDescent="0.3">
      <c r="A4" s="1">
        <v>44201</v>
      </c>
      <c r="B4" t="s">
        <v>15</v>
      </c>
      <c r="C4">
        <v>900</v>
      </c>
      <c r="E4" t="s">
        <v>16</v>
      </c>
      <c r="F4" t="s">
        <v>17</v>
      </c>
      <c r="G4" t="s">
        <v>14</v>
      </c>
      <c r="H4">
        <f>MONTH(Table1[[#This Row],[Date]])</f>
        <v>1</v>
      </c>
      <c r="I4" s="2">
        <f>WEEKDAY(Table1[[#This Row],[Date]])</f>
        <v>3</v>
      </c>
      <c r="J4">
        <f>Table1[[#This Row],[Credit]]-Table1[[#This Row],[Debit]]</f>
        <v>-900</v>
      </c>
      <c r="K4" s="7" t="str">
        <f>TEXT(Table1[[#This Row],[Date]], "mmm")</f>
        <v>Jan</v>
      </c>
    </row>
    <row r="5" spans="1:11" hidden="1" x14ac:dyDescent="0.3">
      <c r="A5" s="1">
        <v>44201</v>
      </c>
      <c r="B5" t="s">
        <v>18</v>
      </c>
      <c r="C5">
        <v>150</v>
      </c>
      <c r="E5" t="s">
        <v>19</v>
      </c>
      <c r="F5" t="s">
        <v>20</v>
      </c>
      <c r="G5" t="s">
        <v>14</v>
      </c>
      <c r="H5">
        <f>MONTH(Table1[[#This Row],[Date]])</f>
        <v>1</v>
      </c>
      <c r="I5" s="2">
        <f>WEEKDAY(Table1[[#This Row],[Date]])</f>
        <v>3</v>
      </c>
      <c r="J5">
        <f>Table1[[#This Row],[Credit]]-Table1[[#This Row],[Debit]]</f>
        <v>-150</v>
      </c>
      <c r="K5" s="7" t="str">
        <f>TEXT(Table1[[#This Row],[Date]], "mmm")</f>
        <v>Jan</v>
      </c>
    </row>
    <row r="6" spans="1:11" hidden="1" x14ac:dyDescent="0.3">
      <c r="A6" s="1">
        <v>44201</v>
      </c>
      <c r="B6" t="s">
        <v>11</v>
      </c>
      <c r="C6">
        <v>5</v>
      </c>
      <c r="E6" t="s">
        <v>12</v>
      </c>
      <c r="F6" t="s">
        <v>13</v>
      </c>
      <c r="G6" t="s">
        <v>14</v>
      </c>
      <c r="H6">
        <f>MONTH(Table1[[#This Row],[Date]])</f>
        <v>1</v>
      </c>
      <c r="I6" s="2">
        <f>WEEKDAY(Table1[[#This Row],[Date]])</f>
        <v>3</v>
      </c>
      <c r="J6">
        <f>Table1[[#This Row],[Credit]]-Table1[[#This Row],[Debit]]</f>
        <v>-5</v>
      </c>
      <c r="K6" s="7" t="str">
        <f>TEXT(Table1[[#This Row],[Date]], "mmm")</f>
        <v>Jan</v>
      </c>
    </row>
    <row r="7" spans="1:11" hidden="1" x14ac:dyDescent="0.3">
      <c r="A7" s="1">
        <v>44202</v>
      </c>
      <c r="B7" t="s">
        <v>11</v>
      </c>
      <c r="C7">
        <v>5</v>
      </c>
      <c r="E7" t="s">
        <v>12</v>
      </c>
      <c r="F7" t="s">
        <v>13</v>
      </c>
      <c r="G7" t="s">
        <v>14</v>
      </c>
      <c r="H7">
        <f>MONTH(Table1[[#This Row],[Date]])</f>
        <v>1</v>
      </c>
      <c r="I7" s="2">
        <f>WEEKDAY(Table1[[#This Row],[Date]])</f>
        <v>4</v>
      </c>
      <c r="J7">
        <f>Table1[[#This Row],[Credit]]-Table1[[#This Row],[Debit]]</f>
        <v>-5</v>
      </c>
      <c r="K7" s="7" t="str">
        <f>TEXT(Table1[[#This Row],[Date]], "mmm")</f>
        <v>Jan</v>
      </c>
    </row>
    <row r="8" spans="1:11" hidden="1" x14ac:dyDescent="0.3">
      <c r="A8" s="1">
        <v>44203</v>
      </c>
      <c r="B8" t="s">
        <v>11</v>
      </c>
      <c r="C8">
        <v>5</v>
      </c>
      <c r="E8" t="s">
        <v>12</v>
      </c>
      <c r="F8" t="s">
        <v>13</v>
      </c>
      <c r="G8" t="s">
        <v>14</v>
      </c>
      <c r="H8">
        <f>MONTH(Table1[[#This Row],[Date]])</f>
        <v>1</v>
      </c>
      <c r="I8" s="2">
        <f>WEEKDAY(Table1[[#This Row],[Date]])</f>
        <v>5</v>
      </c>
      <c r="J8">
        <f>Table1[[#This Row],[Credit]]-Table1[[#This Row],[Debit]]</f>
        <v>-5</v>
      </c>
      <c r="K8" s="7" t="str">
        <f>TEXT(Table1[[#This Row],[Date]], "mmm")</f>
        <v>Jan</v>
      </c>
    </row>
    <row r="9" spans="1:11" hidden="1" x14ac:dyDescent="0.3">
      <c r="A9" s="1">
        <v>44204</v>
      </c>
      <c r="B9" t="s">
        <v>11</v>
      </c>
      <c r="C9">
        <v>5</v>
      </c>
      <c r="E9" t="s">
        <v>12</v>
      </c>
      <c r="F9" t="s">
        <v>13</v>
      </c>
      <c r="G9" t="s">
        <v>14</v>
      </c>
      <c r="H9">
        <f>MONTH(Table1[[#This Row],[Date]])</f>
        <v>1</v>
      </c>
      <c r="I9" s="2">
        <f>WEEKDAY(Table1[[#This Row],[Date]])</f>
        <v>6</v>
      </c>
      <c r="J9">
        <f>Table1[[#This Row],[Credit]]-Table1[[#This Row],[Debit]]</f>
        <v>-5</v>
      </c>
      <c r="K9" s="7" t="str">
        <f>TEXT(Table1[[#This Row],[Date]], "mmm")</f>
        <v>Jan</v>
      </c>
    </row>
    <row r="10" spans="1:11" hidden="1" x14ac:dyDescent="0.3">
      <c r="A10" s="1">
        <v>44204</v>
      </c>
      <c r="B10" t="s">
        <v>21</v>
      </c>
      <c r="C10">
        <v>155</v>
      </c>
      <c r="E10" t="s">
        <v>22</v>
      </c>
      <c r="F10" t="s">
        <v>17</v>
      </c>
      <c r="G10" t="s">
        <v>14</v>
      </c>
      <c r="H10">
        <f>MONTH(Table1[[#This Row],[Date]])</f>
        <v>1</v>
      </c>
      <c r="I10" s="2">
        <f>WEEKDAY(Table1[[#This Row],[Date]])</f>
        <v>6</v>
      </c>
      <c r="J10">
        <f>Table1[[#This Row],[Credit]]-Table1[[#This Row],[Debit]]</f>
        <v>-155</v>
      </c>
      <c r="K10" s="7" t="str">
        <f>TEXT(Table1[[#This Row],[Date]], "mmm")</f>
        <v>Jan</v>
      </c>
    </row>
    <row r="11" spans="1:11" hidden="1" x14ac:dyDescent="0.3">
      <c r="A11" s="1">
        <v>44207</v>
      </c>
      <c r="B11" t="s">
        <v>23</v>
      </c>
      <c r="C11">
        <v>50</v>
      </c>
      <c r="E11" t="s">
        <v>24</v>
      </c>
      <c r="F11" t="s">
        <v>17</v>
      </c>
      <c r="G11" t="s">
        <v>14</v>
      </c>
      <c r="H11">
        <f>MONTH(Table1[[#This Row],[Date]])</f>
        <v>1</v>
      </c>
      <c r="I11" s="2">
        <f>WEEKDAY(Table1[[#This Row],[Date]])</f>
        <v>2</v>
      </c>
      <c r="J11">
        <f>Table1[[#This Row],[Credit]]-Table1[[#This Row],[Debit]]</f>
        <v>-50</v>
      </c>
      <c r="K11" s="7" t="str">
        <f>TEXT(Table1[[#This Row],[Date]], "mmm")</f>
        <v>Jan</v>
      </c>
    </row>
    <row r="12" spans="1:11" hidden="1" x14ac:dyDescent="0.3">
      <c r="A12" s="1">
        <v>44207</v>
      </c>
      <c r="B12" t="s">
        <v>11</v>
      </c>
      <c r="C12">
        <v>5</v>
      </c>
      <c r="E12" t="s">
        <v>12</v>
      </c>
      <c r="F12" t="s">
        <v>13</v>
      </c>
      <c r="G12" t="s">
        <v>14</v>
      </c>
      <c r="H12">
        <f>MONTH(Table1[[#This Row],[Date]])</f>
        <v>1</v>
      </c>
      <c r="I12" s="2">
        <f>WEEKDAY(Table1[[#This Row],[Date]])</f>
        <v>2</v>
      </c>
      <c r="J12">
        <f>Table1[[#This Row],[Credit]]-Table1[[#This Row],[Debit]]</f>
        <v>-5</v>
      </c>
      <c r="K12" s="7" t="str">
        <f>TEXT(Table1[[#This Row],[Date]], "mmm")</f>
        <v>Jan</v>
      </c>
    </row>
    <row r="13" spans="1:11" hidden="1" x14ac:dyDescent="0.3">
      <c r="A13" s="1">
        <v>44208</v>
      </c>
      <c r="B13" t="s">
        <v>11</v>
      </c>
      <c r="C13">
        <v>5</v>
      </c>
      <c r="E13" t="s">
        <v>12</v>
      </c>
      <c r="F13" t="s">
        <v>13</v>
      </c>
      <c r="G13" t="s">
        <v>14</v>
      </c>
      <c r="H13">
        <f>MONTH(Table1[[#This Row],[Date]])</f>
        <v>1</v>
      </c>
      <c r="I13" s="2">
        <f>WEEKDAY(Table1[[#This Row],[Date]])</f>
        <v>3</v>
      </c>
      <c r="J13">
        <f>Table1[[#This Row],[Credit]]-Table1[[#This Row],[Debit]]</f>
        <v>-5</v>
      </c>
      <c r="K13" s="7" t="str">
        <f>TEXT(Table1[[#This Row],[Date]], "mmm")</f>
        <v>Jan</v>
      </c>
    </row>
    <row r="14" spans="1:11" hidden="1" x14ac:dyDescent="0.3">
      <c r="A14" s="1">
        <v>44209</v>
      </c>
      <c r="B14" t="s">
        <v>25</v>
      </c>
      <c r="C14">
        <v>77</v>
      </c>
      <c r="E14" t="s">
        <v>12</v>
      </c>
      <c r="F14" t="s">
        <v>13</v>
      </c>
      <c r="G14" t="s">
        <v>14</v>
      </c>
      <c r="H14">
        <f>MONTH(Table1[[#This Row],[Date]])</f>
        <v>1</v>
      </c>
      <c r="I14" s="2">
        <f>WEEKDAY(Table1[[#This Row],[Date]])</f>
        <v>4</v>
      </c>
      <c r="J14">
        <f>Table1[[#This Row],[Credit]]-Table1[[#This Row],[Debit]]</f>
        <v>-77</v>
      </c>
      <c r="K14" s="7" t="str">
        <f>TEXT(Table1[[#This Row],[Date]], "mmm")</f>
        <v>Jan</v>
      </c>
    </row>
    <row r="15" spans="1:11" hidden="1" x14ac:dyDescent="0.3">
      <c r="A15" s="1">
        <v>44209</v>
      </c>
      <c r="B15" t="s">
        <v>11</v>
      </c>
      <c r="C15">
        <v>5</v>
      </c>
      <c r="E15" t="s">
        <v>12</v>
      </c>
      <c r="F15" t="s">
        <v>13</v>
      </c>
      <c r="G15" t="s">
        <v>14</v>
      </c>
      <c r="H15">
        <f>MONTH(Table1[[#This Row],[Date]])</f>
        <v>1</v>
      </c>
      <c r="I15" s="2">
        <f>WEEKDAY(Table1[[#This Row],[Date]])</f>
        <v>4</v>
      </c>
      <c r="J15">
        <f>Table1[[#This Row],[Credit]]-Table1[[#This Row],[Debit]]</f>
        <v>-5</v>
      </c>
      <c r="K15" s="7" t="str">
        <f>TEXT(Table1[[#This Row],[Date]], "mmm")</f>
        <v>Jan</v>
      </c>
    </row>
    <row r="16" spans="1:11" hidden="1" x14ac:dyDescent="0.3">
      <c r="A16" s="1">
        <v>44210</v>
      </c>
      <c r="B16" t="s">
        <v>11</v>
      </c>
      <c r="C16">
        <v>5</v>
      </c>
      <c r="E16" t="s">
        <v>12</v>
      </c>
      <c r="F16" t="s">
        <v>13</v>
      </c>
      <c r="G16" t="s">
        <v>14</v>
      </c>
      <c r="H16">
        <f>MONTH(Table1[[#This Row],[Date]])</f>
        <v>1</v>
      </c>
      <c r="I16" s="2">
        <f>WEEKDAY(Table1[[#This Row],[Date]])</f>
        <v>5</v>
      </c>
      <c r="J16">
        <f>Table1[[#This Row],[Credit]]-Table1[[#This Row],[Debit]]</f>
        <v>-5</v>
      </c>
      <c r="K16" s="7" t="str">
        <f>TEXT(Table1[[#This Row],[Date]], "mmm")</f>
        <v>Jan</v>
      </c>
    </row>
    <row r="17" spans="1:11" hidden="1" x14ac:dyDescent="0.3">
      <c r="A17" s="1">
        <v>44211</v>
      </c>
      <c r="B17" t="s">
        <v>21</v>
      </c>
      <c r="C17">
        <v>135</v>
      </c>
      <c r="E17" t="s">
        <v>22</v>
      </c>
      <c r="F17" t="s">
        <v>17</v>
      </c>
      <c r="G17" t="s">
        <v>14</v>
      </c>
      <c r="H17">
        <f>MONTH(Table1[[#This Row],[Date]])</f>
        <v>1</v>
      </c>
      <c r="I17" s="2">
        <f>WEEKDAY(Table1[[#This Row],[Date]])</f>
        <v>6</v>
      </c>
      <c r="J17">
        <f>Table1[[#This Row],[Credit]]-Table1[[#This Row],[Debit]]</f>
        <v>-135</v>
      </c>
      <c r="K17" s="7" t="str">
        <f>TEXT(Table1[[#This Row],[Date]], "mmm")</f>
        <v>Jan</v>
      </c>
    </row>
    <row r="18" spans="1:11" hidden="1" x14ac:dyDescent="0.3">
      <c r="A18" s="1">
        <v>44211</v>
      </c>
      <c r="B18" t="s">
        <v>11</v>
      </c>
      <c r="C18">
        <v>5</v>
      </c>
      <c r="E18" t="s">
        <v>12</v>
      </c>
      <c r="F18" t="s">
        <v>13</v>
      </c>
      <c r="G18" t="s">
        <v>14</v>
      </c>
      <c r="H18">
        <f>MONTH(Table1[[#This Row],[Date]])</f>
        <v>1</v>
      </c>
      <c r="I18" s="2">
        <f>WEEKDAY(Table1[[#This Row],[Date]])</f>
        <v>6</v>
      </c>
      <c r="J18">
        <f>Table1[[#This Row],[Credit]]-Table1[[#This Row],[Debit]]</f>
        <v>-5</v>
      </c>
      <c r="K18" s="7" t="str">
        <f>TEXT(Table1[[#This Row],[Date]], "mmm")</f>
        <v>Jan</v>
      </c>
    </row>
    <row r="19" spans="1:11" hidden="1" x14ac:dyDescent="0.3">
      <c r="A19" s="1">
        <v>44212</v>
      </c>
      <c r="B19" t="s">
        <v>11</v>
      </c>
      <c r="C19">
        <v>5</v>
      </c>
      <c r="E19" t="s">
        <v>12</v>
      </c>
      <c r="F19" t="s">
        <v>13</v>
      </c>
      <c r="G19" t="s">
        <v>14</v>
      </c>
      <c r="H19">
        <f>MONTH(Table1[[#This Row],[Date]])</f>
        <v>1</v>
      </c>
      <c r="I19" s="2">
        <f>WEEKDAY(Table1[[#This Row],[Date]])</f>
        <v>7</v>
      </c>
      <c r="J19">
        <f>Table1[[#This Row],[Credit]]-Table1[[#This Row],[Debit]]</f>
        <v>-5</v>
      </c>
      <c r="K19" s="7" t="str">
        <f>TEXT(Table1[[#This Row],[Date]], "mmm")</f>
        <v>Jan</v>
      </c>
    </row>
    <row r="20" spans="1:11" hidden="1" x14ac:dyDescent="0.3">
      <c r="A20" s="1">
        <v>44212</v>
      </c>
      <c r="B20" t="s">
        <v>26</v>
      </c>
      <c r="C20">
        <v>40</v>
      </c>
      <c r="E20" t="s">
        <v>27</v>
      </c>
      <c r="F20" t="s">
        <v>28</v>
      </c>
      <c r="G20" t="s">
        <v>14</v>
      </c>
      <c r="H20">
        <f>MONTH(Table1[[#This Row],[Date]])</f>
        <v>1</v>
      </c>
      <c r="I20" s="2">
        <f>WEEKDAY(Table1[[#This Row],[Date]])</f>
        <v>7</v>
      </c>
      <c r="J20">
        <f>Table1[[#This Row],[Credit]]-Table1[[#This Row],[Debit]]</f>
        <v>-40</v>
      </c>
      <c r="K20" s="7" t="str">
        <f>TEXT(Table1[[#This Row],[Date]], "mmm")</f>
        <v>Jan</v>
      </c>
    </row>
    <row r="21" spans="1:11" hidden="1" x14ac:dyDescent="0.3">
      <c r="A21" s="1">
        <v>44212</v>
      </c>
      <c r="B21" t="s">
        <v>29</v>
      </c>
      <c r="C21">
        <v>98</v>
      </c>
      <c r="E21" t="s">
        <v>30</v>
      </c>
      <c r="F21" t="s">
        <v>28</v>
      </c>
      <c r="G21" t="s">
        <v>14</v>
      </c>
      <c r="H21">
        <f>MONTH(Table1[[#This Row],[Date]])</f>
        <v>1</v>
      </c>
      <c r="I21" s="2">
        <f>WEEKDAY(Table1[[#This Row],[Date]])</f>
        <v>7</v>
      </c>
      <c r="J21">
        <f>Table1[[#This Row],[Credit]]-Table1[[#This Row],[Debit]]</f>
        <v>-98</v>
      </c>
      <c r="K21" s="7" t="str">
        <f>TEXT(Table1[[#This Row],[Date]], "mmm")</f>
        <v>Jan</v>
      </c>
    </row>
    <row r="22" spans="1:11" hidden="1" x14ac:dyDescent="0.3">
      <c r="A22" s="1">
        <v>44212</v>
      </c>
      <c r="B22" t="s">
        <v>31</v>
      </c>
      <c r="C22">
        <v>52</v>
      </c>
      <c r="E22" t="s">
        <v>32</v>
      </c>
      <c r="F22" t="s">
        <v>13</v>
      </c>
      <c r="G22" t="s">
        <v>14</v>
      </c>
      <c r="H22">
        <f>MONTH(Table1[[#This Row],[Date]])</f>
        <v>1</v>
      </c>
      <c r="I22" s="2">
        <f>WEEKDAY(Table1[[#This Row],[Date]])</f>
        <v>7</v>
      </c>
      <c r="J22">
        <f>Table1[[#This Row],[Credit]]-Table1[[#This Row],[Debit]]</f>
        <v>-52</v>
      </c>
      <c r="K22" s="7" t="str">
        <f>TEXT(Table1[[#This Row],[Date]], "mmm")</f>
        <v>Jan</v>
      </c>
    </row>
    <row r="23" spans="1:11" hidden="1" x14ac:dyDescent="0.3">
      <c r="A23" s="1">
        <v>44213</v>
      </c>
      <c r="B23" t="s">
        <v>33</v>
      </c>
      <c r="C23">
        <v>28</v>
      </c>
      <c r="E23" t="s">
        <v>34</v>
      </c>
      <c r="F23" t="s">
        <v>20</v>
      </c>
      <c r="G23" t="s">
        <v>14</v>
      </c>
      <c r="H23">
        <f>MONTH(Table1[[#This Row],[Date]])</f>
        <v>1</v>
      </c>
      <c r="I23" s="2">
        <f>WEEKDAY(Table1[[#This Row],[Date]])</f>
        <v>1</v>
      </c>
      <c r="J23">
        <f>Table1[[#This Row],[Credit]]-Table1[[#This Row],[Debit]]</f>
        <v>-28</v>
      </c>
      <c r="K23" s="7" t="str">
        <f>TEXT(Table1[[#This Row],[Date]], "mmm")</f>
        <v>Jan</v>
      </c>
    </row>
    <row r="24" spans="1:11" hidden="1" x14ac:dyDescent="0.3">
      <c r="A24" s="1">
        <v>44214</v>
      </c>
      <c r="B24" t="s">
        <v>35</v>
      </c>
      <c r="D24">
        <v>4500</v>
      </c>
      <c r="E24" t="s">
        <v>36</v>
      </c>
      <c r="F24" t="s">
        <v>37</v>
      </c>
      <c r="G24" t="s">
        <v>10</v>
      </c>
      <c r="H24">
        <f>MONTH(Table1[[#This Row],[Date]])</f>
        <v>1</v>
      </c>
      <c r="I24" s="2">
        <f>WEEKDAY(Table1[[#This Row],[Date]])</f>
        <v>2</v>
      </c>
      <c r="J24">
        <f>Table1[[#This Row],[Credit]]-Table1[[#This Row],[Debit]]</f>
        <v>4500</v>
      </c>
      <c r="K24" s="7" t="str">
        <f>TEXT(Table1[[#This Row],[Date]], "mmm")</f>
        <v>Jan</v>
      </c>
    </row>
    <row r="25" spans="1:11" hidden="1" x14ac:dyDescent="0.3">
      <c r="A25" s="1">
        <v>44214</v>
      </c>
      <c r="B25" t="s">
        <v>11</v>
      </c>
      <c r="C25">
        <v>5</v>
      </c>
      <c r="E25" t="s">
        <v>12</v>
      </c>
      <c r="F25" t="s">
        <v>13</v>
      </c>
      <c r="G25" t="s">
        <v>14</v>
      </c>
      <c r="H25">
        <f>MONTH(Table1[[#This Row],[Date]])</f>
        <v>1</v>
      </c>
      <c r="I25" s="2">
        <f>WEEKDAY(Table1[[#This Row],[Date]])</f>
        <v>2</v>
      </c>
      <c r="J25">
        <f>Table1[[#This Row],[Credit]]-Table1[[#This Row],[Debit]]</f>
        <v>-5</v>
      </c>
      <c r="K25" s="7" t="str">
        <f>TEXT(Table1[[#This Row],[Date]], "mmm")</f>
        <v>Jan</v>
      </c>
    </row>
    <row r="26" spans="1:11" hidden="1" x14ac:dyDescent="0.3">
      <c r="A26" s="1">
        <v>44215</v>
      </c>
      <c r="B26" t="s">
        <v>11</v>
      </c>
      <c r="C26">
        <v>5</v>
      </c>
      <c r="E26" t="s">
        <v>12</v>
      </c>
      <c r="F26" t="s">
        <v>13</v>
      </c>
      <c r="G26" t="s">
        <v>14</v>
      </c>
      <c r="H26">
        <f>MONTH(Table1[[#This Row],[Date]])</f>
        <v>1</v>
      </c>
      <c r="I26" s="2">
        <f>WEEKDAY(Table1[[#This Row],[Date]])</f>
        <v>3</v>
      </c>
      <c r="J26">
        <f>Table1[[#This Row],[Credit]]-Table1[[#This Row],[Debit]]</f>
        <v>-5</v>
      </c>
      <c r="K26" s="7" t="str">
        <f>TEXT(Table1[[#This Row],[Date]], "mmm")</f>
        <v>Jan</v>
      </c>
    </row>
    <row r="27" spans="1:11" hidden="1" x14ac:dyDescent="0.3">
      <c r="A27" s="1">
        <v>44215</v>
      </c>
      <c r="B27" t="s">
        <v>35</v>
      </c>
      <c r="D27">
        <v>4500</v>
      </c>
      <c r="E27" t="s">
        <v>38</v>
      </c>
      <c r="F27" t="s">
        <v>37</v>
      </c>
      <c r="G27" t="s">
        <v>10</v>
      </c>
      <c r="H27">
        <f>MONTH(Table1[[#This Row],[Date]])</f>
        <v>1</v>
      </c>
      <c r="I27" s="2">
        <f>WEEKDAY(Table1[[#This Row],[Date]])</f>
        <v>3</v>
      </c>
      <c r="J27">
        <f>Table1[[#This Row],[Credit]]-Table1[[#This Row],[Debit]]</f>
        <v>4500</v>
      </c>
      <c r="K27" s="7" t="str">
        <f>TEXT(Table1[[#This Row],[Date]], "mmm")</f>
        <v>Jan</v>
      </c>
    </row>
    <row r="28" spans="1:11" hidden="1" x14ac:dyDescent="0.3">
      <c r="A28" s="1">
        <v>44215</v>
      </c>
      <c r="B28" t="s">
        <v>39</v>
      </c>
      <c r="C28">
        <v>40</v>
      </c>
      <c r="E28" t="s">
        <v>39</v>
      </c>
      <c r="F28" t="s">
        <v>17</v>
      </c>
      <c r="G28" t="s">
        <v>14</v>
      </c>
      <c r="H28">
        <f>MONTH(Table1[[#This Row],[Date]])</f>
        <v>1</v>
      </c>
      <c r="I28" s="2">
        <f>WEEKDAY(Table1[[#This Row],[Date]])</f>
        <v>3</v>
      </c>
      <c r="J28">
        <f>Table1[[#This Row],[Credit]]-Table1[[#This Row],[Debit]]</f>
        <v>-40</v>
      </c>
      <c r="K28" s="7" t="str">
        <f>TEXT(Table1[[#This Row],[Date]], "mmm")</f>
        <v>Jan</v>
      </c>
    </row>
    <row r="29" spans="1:11" hidden="1" x14ac:dyDescent="0.3">
      <c r="A29" s="1">
        <v>44216</v>
      </c>
      <c r="B29" t="s">
        <v>40</v>
      </c>
      <c r="C29">
        <v>45</v>
      </c>
      <c r="E29" t="s">
        <v>41</v>
      </c>
      <c r="F29" t="s">
        <v>28</v>
      </c>
      <c r="G29" t="s">
        <v>14</v>
      </c>
      <c r="H29">
        <f>MONTH(Table1[[#This Row],[Date]])</f>
        <v>1</v>
      </c>
      <c r="I29" s="2">
        <f>WEEKDAY(Table1[[#This Row],[Date]])</f>
        <v>4</v>
      </c>
      <c r="J29">
        <f>Table1[[#This Row],[Credit]]-Table1[[#This Row],[Debit]]</f>
        <v>-45</v>
      </c>
      <c r="K29" s="7" t="str">
        <f>TEXT(Table1[[#This Row],[Date]], "mmm")</f>
        <v>Jan</v>
      </c>
    </row>
    <row r="30" spans="1:11" hidden="1" x14ac:dyDescent="0.3">
      <c r="A30" s="1">
        <v>44216</v>
      </c>
      <c r="B30" t="s">
        <v>42</v>
      </c>
      <c r="C30">
        <v>32</v>
      </c>
      <c r="E30" t="s">
        <v>27</v>
      </c>
      <c r="F30" t="s">
        <v>28</v>
      </c>
      <c r="G30" t="s">
        <v>14</v>
      </c>
      <c r="H30">
        <f>MONTH(Table1[[#This Row],[Date]])</f>
        <v>1</v>
      </c>
      <c r="I30" s="2">
        <f>WEEKDAY(Table1[[#This Row],[Date]])</f>
        <v>4</v>
      </c>
      <c r="J30">
        <f>Table1[[#This Row],[Credit]]-Table1[[#This Row],[Debit]]</f>
        <v>-32</v>
      </c>
      <c r="K30" s="7" t="str">
        <f>TEXT(Table1[[#This Row],[Date]], "mmm")</f>
        <v>Jan</v>
      </c>
    </row>
    <row r="31" spans="1:11" hidden="1" x14ac:dyDescent="0.3">
      <c r="A31" s="1">
        <v>44216</v>
      </c>
      <c r="B31" t="s">
        <v>11</v>
      </c>
      <c r="C31">
        <v>5</v>
      </c>
      <c r="E31" t="s">
        <v>12</v>
      </c>
      <c r="F31" t="s">
        <v>13</v>
      </c>
      <c r="G31" t="s">
        <v>14</v>
      </c>
      <c r="H31">
        <f>MONTH(Table1[[#This Row],[Date]])</f>
        <v>1</v>
      </c>
      <c r="I31" s="2">
        <f>WEEKDAY(Table1[[#This Row],[Date]])</f>
        <v>4</v>
      </c>
      <c r="J31">
        <f>Table1[[#This Row],[Credit]]-Table1[[#This Row],[Debit]]</f>
        <v>-5</v>
      </c>
      <c r="K31" s="7" t="str">
        <f>TEXT(Table1[[#This Row],[Date]], "mmm")</f>
        <v>Jan</v>
      </c>
    </row>
    <row r="32" spans="1:11" hidden="1" x14ac:dyDescent="0.3">
      <c r="A32" s="1">
        <v>44217</v>
      </c>
      <c r="B32" t="s">
        <v>11</v>
      </c>
      <c r="C32">
        <v>5</v>
      </c>
      <c r="E32" t="s">
        <v>12</v>
      </c>
      <c r="F32" t="s">
        <v>13</v>
      </c>
      <c r="G32" t="s">
        <v>14</v>
      </c>
      <c r="H32">
        <f>MONTH(Table1[[#This Row],[Date]])</f>
        <v>1</v>
      </c>
      <c r="I32" s="2">
        <f>WEEKDAY(Table1[[#This Row],[Date]])</f>
        <v>5</v>
      </c>
      <c r="J32">
        <f>Table1[[#This Row],[Credit]]-Table1[[#This Row],[Debit]]</f>
        <v>-5</v>
      </c>
      <c r="K32" s="7" t="str">
        <f>TEXT(Table1[[#This Row],[Date]], "mmm")</f>
        <v>Jan</v>
      </c>
    </row>
    <row r="33" spans="1:11" hidden="1" x14ac:dyDescent="0.3">
      <c r="A33" s="1">
        <v>44218</v>
      </c>
      <c r="B33" t="s">
        <v>11</v>
      </c>
      <c r="C33">
        <v>5</v>
      </c>
      <c r="E33" t="s">
        <v>12</v>
      </c>
      <c r="F33" t="s">
        <v>13</v>
      </c>
      <c r="G33" t="s">
        <v>14</v>
      </c>
      <c r="H33">
        <f>MONTH(Table1[[#This Row],[Date]])</f>
        <v>1</v>
      </c>
      <c r="I33" s="2">
        <f>WEEKDAY(Table1[[#This Row],[Date]])</f>
        <v>6</v>
      </c>
      <c r="J33">
        <f>Table1[[#This Row],[Credit]]-Table1[[#This Row],[Debit]]</f>
        <v>-5</v>
      </c>
      <c r="K33" s="7" t="str">
        <f>TEXT(Table1[[#This Row],[Date]], "mmm")</f>
        <v>Jan</v>
      </c>
    </row>
    <row r="34" spans="1:11" hidden="1" x14ac:dyDescent="0.3">
      <c r="A34" s="1">
        <v>44218</v>
      </c>
      <c r="B34" t="s">
        <v>21</v>
      </c>
      <c r="C34">
        <v>170</v>
      </c>
      <c r="E34" t="s">
        <v>22</v>
      </c>
      <c r="F34" t="s">
        <v>17</v>
      </c>
      <c r="G34" t="s">
        <v>14</v>
      </c>
      <c r="H34">
        <f>MONTH(Table1[[#This Row],[Date]])</f>
        <v>1</v>
      </c>
      <c r="I34" s="2">
        <f>WEEKDAY(Table1[[#This Row],[Date]])</f>
        <v>6</v>
      </c>
      <c r="J34">
        <f>Table1[[#This Row],[Credit]]-Table1[[#This Row],[Debit]]</f>
        <v>-170</v>
      </c>
      <c r="K34" s="7" t="str">
        <f>TEXT(Table1[[#This Row],[Date]], "mmm")</f>
        <v>Jan</v>
      </c>
    </row>
    <row r="35" spans="1:11" hidden="1" x14ac:dyDescent="0.3">
      <c r="A35" s="1">
        <v>44219</v>
      </c>
      <c r="B35" t="s">
        <v>43</v>
      </c>
      <c r="C35">
        <v>37</v>
      </c>
      <c r="E35" t="s">
        <v>32</v>
      </c>
      <c r="F35" t="s">
        <v>13</v>
      </c>
      <c r="G35" t="s">
        <v>14</v>
      </c>
      <c r="H35">
        <f>MONTH(Table1[[#This Row],[Date]])</f>
        <v>1</v>
      </c>
      <c r="I35" s="2">
        <f>WEEKDAY(Table1[[#This Row],[Date]])</f>
        <v>7</v>
      </c>
      <c r="J35">
        <f>Table1[[#This Row],[Credit]]-Table1[[#This Row],[Debit]]</f>
        <v>-37</v>
      </c>
      <c r="K35" s="7" t="str">
        <f>TEXT(Table1[[#This Row],[Date]], "mmm")</f>
        <v>Jan</v>
      </c>
    </row>
    <row r="36" spans="1:11" hidden="1" x14ac:dyDescent="0.3">
      <c r="A36" s="1">
        <v>44220</v>
      </c>
      <c r="B36" t="s">
        <v>44</v>
      </c>
      <c r="C36">
        <v>12</v>
      </c>
      <c r="E36" t="s">
        <v>32</v>
      </c>
      <c r="F36" t="s">
        <v>13</v>
      </c>
      <c r="G36" t="s">
        <v>14</v>
      </c>
      <c r="H36">
        <f>MONTH(Table1[[#This Row],[Date]])</f>
        <v>1</v>
      </c>
      <c r="I36" s="2">
        <f>WEEKDAY(Table1[[#This Row],[Date]])</f>
        <v>1</v>
      </c>
      <c r="J36">
        <f>Table1[[#This Row],[Credit]]-Table1[[#This Row],[Debit]]</f>
        <v>-12</v>
      </c>
      <c r="K36" s="7" t="str">
        <f>TEXT(Table1[[#This Row],[Date]], "mmm")</f>
        <v>Jan</v>
      </c>
    </row>
    <row r="37" spans="1:11" hidden="1" x14ac:dyDescent="0.3">
      <c r="A37" s="1">
        <v>44221</v>
      </c>
      <c r="B37" t="s">
        <v>45</v>
      </c>
      <c r="C37">
        <v>55</v>
      </c>
      <c r="E37" t="s">
        <v>46</v>
      </c>
      <c r="F37" t="s">
        <v>47</v>
      </c>
      <c r="G37" t="s">
        <v>14</v>
      </c>
      <c r="H37">
        <f>MONTH(Table1[[#This Row],[Date]])</f>
        <v>1</v>
      </c>
      <c r="I37" s="2">
        <f>WEEKDAY(Table1[[#This Row],[Date]])</f>
        <v>2</v>
      </c>
      <c r="J37">
        <f>Table1[[#This Row],[Credit]]-Table1[[#This Row],[Debit]]</f>
        <v>-55</v>
      </c>
      <c r="K37" s="7" t="str">
        <f>TEXT(Table1[[#This Row],[Date]], "mmm")</f>
        <v>Jan</v>
      </c>
    </row>
    <row r="38" spans="1:11" hidden="1" x14ac:dyDescent="0.3">
      <c r="A38" s="1">
        <v>44221</v>
      </c>
      <c r="B38" t="s">
        <v>25</v>
      </c>
      <c r="C38">
        <v>63</v>
      </c>
      <c r="E38" t="s">
        <v>48</v>
      </c>
      <c r="F38" t="s">
        <v>20</v>
      </c>
      <c r="G38" t="s">
        <v>14</v>
      </c>
      <c r="H38">
        <f>MONTH(Table1[[#This Row],[Date]])</f>
        <v>1</v>
      </c>
      <c r="I38" s="2">
        <f>WEEKDAY(Table1[[#This Row],[Date]])</f>
        <v>2</v>
      </c>
      <c r="J38">
        <f>Table1[[#This Row],[Credit]]-Table1[[#This Row],[Debit]]</f>
        <v>-63</v>
      </c>
      <c r="K38" s="7" t="str">
        <f>TEXT(Table1[[#This Row],[Date]], "mmm")</f>
        <v>Jan</v>
      </c>
    </row>
    <row r="39" spans="1:11" hidden="1" x14ac:dyDescent="0.3">
      <c r="A39" s="1">
        <v>44221</v>
      </c>
      <c r="B39" t="s">
        <v>11</v>
      </c>
      <c r="C39">
        <v>5</v>
      </c>
      <c r="E39" t="s">
        <v>12</v>
      </c>
      <c r="F39" t="s">
        <v>13</v>
      </c>
      <c r="G39" t="s">
        <v>14</v>
      </c>
      <c r="H39">
        <f>MONTH(Table1[[#This Row],[Date]])</f>
        <v>1</v>
      </c>
      <c r="I39" s="2">
        <f>WEEKDAY(Table1[[#This Row],[Date]])</f>
        <v>2</v>
      </c>
      <c r="J39">
        <f>Table1[[#This Row],[Credit]]-Table1[[#This Row],[Debit]]</f>
        <v>-5</v>
      </c>
      <c r="K39" s="7" t="str">
        <f>TEXT(Table1[[#This Row],[Date]], "mmm")</f>
        <v>Jan</v>
      </c>
    </row>
    <row r="40" spans="1:11" hidden="1" x14ac:dyDescent="0.3">
      <c r="A40" s="1">
        <v>44222</v>
      </c>
      <c r="B40" t="s">
        <v>11</v>
      </c>
      <c r="C40">
        <v>5</v>
      </c>
      <c r="E40" t="s">
        <v>12</v>
      </c>
      <c r="F40" t="s">
        <v>13</v>
      </c>
      <c r="G40" t="s">
        <v>14</v>
      </c>
      <c r="H40">
        <f>MONTH(Table1[[#This Row],[Date]])</f>
        <v>1</v>
      </c>
      <c r="I40" s="2">
        <f>WEEKDAY(Table1[[#This Row],[Date]])</f>
        <v>3</v>
      </c>
      <c r="J40">
        <f>Table1[[#This Row],[Credit]]-Table1[[#This Row],[Debit]]</f>
        <v>-5</v>
      </c>
      <c r="K40" s="7" t="str">
        <f>TEXT(Table1[[#This Row],[Date]], "mmm")</f>
        <v>Jan</v>
      </c>
    </row>
    <row r="41" spans="1:11" hidden="1" x14ac:dyDescent="0.3">
      <c r="A41" s="1">
        <v>44223</v>
      </c>
      <c r="B41" t="s">
        <v>11</v>
      </c>
      <c r="C41">
        <v>5</v>
      </c>
      <c r="E41" t="s">
        <v>12</v>
      </c>
      <c r="F41" t="s">
        <v>13</v>
      </c>
      <c r="G41" t="s">
        <v>14</v>
      </c>
      <c r="H41">
        <f>MONTH(Table1[[#This Row],[Date]])</f>
        <v>1</v>
      </c>
      <c r="I41" s="2">
        <f>WEEKDAY(Table1[[#This Row],[Date]])</f>
        <v>4</v>
      </c>
      <c r="J41">
        <f>Table1[[#This Row],[Credit]]-Table1[[#This Row],[Debit]]</f>
        <v>-5</v>
      </c>
      <c r="K41" s="7" t="str">
        <f>TEXT(Table1[[#This Row],[Date]], "mmm")</f>
        <v>Jan</v>
      </c>
    </row>
    <row r="42" spans="1:11" hidden="1" x14ac:dyDescent="0.3">
      <c r="A42" s="1">
        <v>44224</v>
      </c>
      <c r="B42" t="s">
        <v>11</v>
      </c>
      <c r="C42">
        <v>5</v>
      </c>
      <c r="E42" t="s">
        <v>12</v>
      </c>
      <c r="F42" t="s">
        <v>13</v>
      </c>
      <c r="G42" t="s">
        <v>14</v>
      </c>
      <c r="H42">
        <f>MONTH(Table1[[#This Row],[Date]])</f>
        <v>1</v>
      </c>
      <c r="I42" s="2">
        <f>WEEKDAY(Table1[[#This Row],[Date]])</f>
        <v>5</v>
      </c>
      <c r="J42">
        <f>Table1[[#This Row],[Credit]]-Table1[[#This Row],[Debit]]</f>
        <v>-5</v>
      </c>
      <c r="K42" s="7" t="str">
        <f>TEXT(Table1[[#This Row],[Date]], "mmm")</f>
        <v>Jan</v>
      </c>
    </row>
    <row r="43" spans="1:11" hidden="1" x14ac:dyDescent="0.3">
      <c r="A43" s="1">
        <v>44225</v>
      </c>
      <c r="B43" t="s">
        <v>11</v>
      </c>
      <c r="C43">
        <v>5</v>
      </c>
      <c r="E43" t="s">
        <v>12</v>
      </c>
      <c r="F43" t="s">
        <v>13</v>
      </c>
      <c r="G43" t="s">
        <v>14</v>
      </c>
      <c r="H43">
        <f>MONTH(Table1[[#This Row],[Date]])</f>
        <v>1</v>
      </c>
      <c r="I43" s="2">
        <f>WEEKDAY(Table1[[#This Row],[Date]])</f>
        <v>6</v>
      </c>
      <c r="J43">
        <f>Table1[[#This Row],[Credit]]-Table1[[#This Row],[Debit]]</f>
        <v>-5</v>
      </c>
      <c r="K43" s="7" t="str">
        <f>TEXT(Table1[[#This Row],[Date]], "mmm")</f>
        <v>Jan</v>
      </c>
    </row>
    <row r="44" spans="1:11" hidden="1" x14ac:dyDescent="0.3">
      <c r="A44" s="1">
        <v>44225</v>
      </c>
      <c r="B44" t="s">
        <v>21</v>
      </c>
      <c r="C44">
        <v>162</v>
      </c>
      <c r="E44" t="s">
        <v>22</v>
      </c>
      <c r="F44" t="s">
        <v>17</v>
      </c>
      <c r="G44" t="s">
        <v>14</v>
      </c>
      <c r="H44">
        <f>MONTH(Table1[[#This Row],[Date]])</f>
        <v>1</v>
      </c>
      <c r="I44" s="2">
        <f>WEEKDAY(Table1[[#This Row],[Date]])</f>
        <v>6</v>
      </c>
      <c r="J44">
        <f>Table1[[#This Row],[Credit]]-Table1[[#This Row],[Debit]]</f>
        <v>-162</v>
      </c>
      <c r="K44" s="7" t="str">
        <f>TEXT(Table1[[#This Row],[Date]], "mmm")</f>
        <v>Jan</v>
      </c>
    </row>
    <row r="45" spans="1:11" hidden="1" x14ac:dyDescent="0.3">
      <c r="A45" s="1">
        <v>44226</v>
      </c>
      <c r="B45" t="s">
        <v>49</v>
      </c>
      <c r="C45">
        <v>125</v>
      </c>
      <c r="E45" t="s">
        <v>30</v>
      </c>
      <c r="F45" t="s">
        <v>28</v>
      </c>
      <c r="G45" t="s">
        <v>14</v>
      </c>
      <c r="H45">
        <f>MONTH(Table1[[#This Row],[Date]])</f>
        <v>1</v>
      </c>
      <c r="I45" s="2">
        <f>WEEKDAY(Table1[[#This Row],[Date]])</f>
        <v>7</v>
      </c>
      <c r="J45">
        <f>Table1[[#This Row],[Credit]]-Table1[[#This Row],[Debit]]</f>
        <v>-125</v>
      </c>
      <c r="K45" s="7" t="str">
        <f>TEXT(Table1[[#This Row],[Date]], "mmm")</f>
        <v>Jan</v>
      </c>
    </row>
    <row r="46" spans="1:11" hidden="1" x14ac:dyDescent="0.3">
      <c r="A46" s="1">
        <v>44226</v>
      </c>
      <c r="B46" t="s">
        <v>50</v>
      </c>
      <c r="C46">
        <v>175</v>
      </c>
      <c r="E46" t="s">
        <v>27</v>
      </c>
      <c r="F46" t="s">
        <v>28</v>
      </c>
      <c r="G46" t="s">
        <v>14</v>
      </c>
      <c r="H46">
        <f>MONTH(Table1[[#This Row],[Date]])</f>
        <v>1</v>
      </c>
      <c r="I46" s="2">
        <f>WEEKDAY(Table1[[#This Row],[Date]])</f>
        <v>7</v>
      </c>
      <c r="J46">
        <f>Table1[[#This Row],[Credit]]-Table1[[#This Row],[Debit]]</f>
        <v>-175</v>
      </c>
      <c r="K46" s="7" t="str">
        <f>TEXT(Table1[[#This Row],[Date]], "mmm")</f>
        <v>Jan</v>
      </c>
    </row>
    <row r="47" spans="1:11" hidden="1" x14ac:dyDescent="0.3">
      <c r="A47" s="1">
        <v>44227</v>
      </c>
      <c r="B47" t="s">
        <v>29</v>
      </c>
      <c r="C47">
        <v>145</v>
      </c>
      <c r="E47" t="s">
        <v>30</v>
      </c>
      <c r="F47" t="s">
        <v>28</v>
      </c>
      <c r="G47" t="s">
        <v>14</v>
      </c>
      <c r="H47">
        <f>MONTH(Table1[[#This Row],[Date]])</f>
        <v>1</v>
      </c>
      <c r="I47" s="2">
        <f>WEEKDAY(Table1[[#This Row],[Date]])</f>
        <v>1</v>
      </c>
      <c r="J47">
        <f>Table1[[#This Row],[Credit]]-Table1[[#This Row],[Debit]]</f>
        <v>-145</v>
      </c>
      <c r="K47" s="7" t="str">
        <f>TEXT(Table1[[#This Row],[Date]], "mmm")</f>
        <v>Jan</v>
      </c>
    </row>
    <row r="48" spans="1:11" hidden="1" x14ac:dyDescent="0.3">
      <c r="A48" s="1">
        <v>44227</v>
      </c>
      <c r="B48" t="s">
        <v>33</v>
      </c>
      <c r="C48">
        <v>23</v>
      </c>
      <c r="E48" t="s">
        <v>34</v>
      </c>
      <c r="F48" t="s">
        <v>20</v>
      </c>
      <c r="G48" t="s">
        <v>14</v>
      </c>
      <c r="H48">
        <f>MONTH(Table1[[#This Row],[Date]])</f>
        <v>1</v>
      </c>
      <c r="I48" s="2">
        <f>WEEKDAY(Table1[[#This Row],[Date]])</f>
        <v>1</v>
      </c>
      <c r="J48">
        <f>Table1[[#This Row],[Credit]]-Table1[[#This Row],[Debit]]</f>
        <v>-23</v>
      </c>
      <c r="K48" s="7" t="str">
        <f>TEXT(Table1[[#This Row],[Date]], "mmm")</f>
        <v>Jan</v>
      </c>
    </row>
    <row r="49" spans="1:11" hidden="1" x14ac:dyDescent="0.3">
      <c r="A49" s="1">
        <v>44228</v>
      </c>
      <c r="B49" t="s">
        <v>7</v>
      </c>
      <c r="D49">
        <v>5000</v>
      </c>
      <c r="E49" t="s">
        <v>8</v>
      </c>
      <c r="F49" t="s">
        <v>9</v>
      </c>
      <c r="G49" t="s">
        <v>10</v>
      </c>
      <c r="H49">
        <f>MONTH(Table1[[#This Row],[Date]])</f>
        <v>2</v>
      </c>
      <c r="I49" s="2">
        <f>WEEKDAY(Table1[[#This Row],[Date]])</f>
        <v>2</v>
      </c>
      <c r="J49">
        <f>Table1[[#This Row],[Credit]]-Table1[[#This Row],[Debit]]</f>
        <v>5000</v>
      </c>
      <c r="K49" s="7" t="str">
        <f>TEXT(Table1[[#This Row],[Date]], "mmm")</f>
        <v>Feb</v>
      </c>
    </row>
    <row r="50" spans="1:11" hidden="1" x14ac:dyDescent="0.3">
      <c r="A50" s="1">
        <v>44228</v>
      </c>
      <c r="B50" t="s">
        <v>11</v>
      </c>
      <c r="C50">
        <v>5</v>
      </c>
      <c r="E50" t="s">
        <v>12</v>
      </c>
      <c r="F50" t="s">
        <v>13</v>
      </c>
      <c r="G50" t="s">
        <v>14</v>
      </c>
      <c r="H50">
        <f>MONTH(Table1[[#This Row],[Date]])</f>
        <v>2</v>
      </c>
      <c r="I50" s="2">
        <f>WEEKDAY(Table1[[#This Row],[Date]])</f>
        <v>2</v>
      </c>
      <c r="J50">
        <f>Table1[[#This Row],[Credit]]-Table1[[#This Row],[Debit]]</f>
        <v>-5</v>
      </c>
      <c r="K50" s="7" t="str">
        <f>TEXT(Table1[[#This Row],[Date]], "mmm")</f>
        <v>Feb</v>
      </c>
    </row>
    <row r="51" spans="1:11" hidden="1" x14ac:dyDescent="0.3">
      <c r="A51" s="1">
        <v>44229</v>
      </c>
      <c r="B51" t="s">
        <v>15</v>
      </c>
      <c r="C51">
        <v>900</v>
      </c>
      <c r="E51" t="s">
        <v>16</v>
      </c>
      <c r="F51" t="s">
        <v>17</v>
      </c>
      <c r="G51" t="s">
        <v>14</v>
      </c>
      <c r="H51">
        <f>MONTH(Table1[[#This Row],[Date]])</f>
        <v>2</v>
      </c>
      <c r="I51" s="2">
        <f>WEEKDAY(Table1[[#This Row],[Date]])</f>
        <v>3</v>
      </c>
      <c r="J51">
        <f>Table1[[#This Row],[Credit]]-Table1[[#This Row],[Debit]]</f>
        <v>-900</v>
      </c>
      <c r="K51" s="7" t="str">
        <f>TEXT(Table1[[#This Row],[Date]], "mmm")</f>
        <v>Feb</v>
      </c>
    </row>
    <row r="52" spans="1:11" hidden="1" x14ac:dyDescent="0.3">
      <c r="A52" s="1">
        <v>44229</v>
      </c>
      <c r="B52" t="s">
        <v>18</v>
      </c>
      <c r="C52">
        <v>150</v>
      </c>
      <c r="E52" t="s">
        <v>19</v>
      </c>
      <c r="F52" t="s">
        <v>20</v>
      </c>
      <c r="G52" t="s">
        <v>14</v>
      </c>
      <c r="H52">
        <f>MONTH(Table1[[#This Row],[Date]])</f>
        <v>2</v>
      </c>
      <c r="I52" s="2">
        <f>WEEKDAY(Table1[[#This Row],[Date]])</f>
        <v>3</v>
      </c>
      <c r="J52">
        <f>Table1[[#This Row],[Credit]]-Table1[[#This Row],[Debit]]</f>
        <v>-150</v>
      </c>
      <c r="K52" s="7" t="str">
        <f>TEXT(Table1[[#This Row],[Date]], "mmm")</f>
        <v>Feb</v>
      </c>
    </row>
    <row r="53" spans="1:11" hidden="1" x14ac:dyDescent="0.3">
      <c r="A53" s="1">
        <v>44229</v>
      </c>
      <c r="B53" t="s">
        <v>11</v>
      </c>
      <c r="C53">
        <v>5</v>
      </c>
      <c r="E53" t="s">
        <v>12</v>
      </c>
      <c r="F53" t="s">
        <v>13</v>
      </c>
      <c r="G53" t="s">
        <v>14</v>
      </c>
      <c r="H53">
        <f>MONTH(Table1[[#This Row],[Date]])</f>
        <v>2</v>
      </c>
      <c r="I53" s="2">
        <f>WEEKDAY(Table1[[#This Row],[Date]])</f>
        <v>3</v>
      </c>
      <c r="J53">
        <f>Table1[[#This Row],[Credit]]-Table1[[#This Row],[Debit]]</f>
        <v>-5</v>
      </c>
      <c r="K53" s="7" t="str">
        <f>TEXT(Table1[[#This Row],[Date]], "mmm")</f>
        <v>Feb</v>
      </c>
    </row>
    <row r="54" spans="1:11" hidden="1" x14ac:dyDescent="0.3">
      <c r="A54" s="1">
        <v>44230</v>
      </c>
      <c r="B54" t="s">
        <v>11</v>
      </c>
      <c r="C54">
        <v>5</v>
      </c>
      <c r="E54" t="s">
        <v>12</v>
      </c>
      <c r="F54" t="s">
        <v>13</v>
      </c>
      <c r="G54" t="s">
        <v>14</v>
      </c>
      <c r="H54">
        <f>MONTH(Table1[[#This Row],[Date]])</f>
        <v>2</v>
      </c>
      <c r="I54" s="2">
        <f>WEEKDAY(Table1[[#This Row],[Date]])</f>
        <v>4</v>
      </c>
      <c r="J54">
        <f>Table1[[#This Row],[Credit]]-Table1[[#This Row],[Debit]]</f>
        <v>-5</v>
      </c>
      <c r="K54" s="7" t="str">
        <f>TEXT(Table1[[#This Row],[Date]], "mmm")</f>
        <v>Feb</v>
      </c>
    </row>
    <row r="55" spans="1:11" hidden="1" x14ac:dyDescent="0.3">
      <c r="A55" s="1">
        <v>44231</v>
      </c>
      <c r="B55" t="s">
        <v>11</v>
      </c>
      <c r="C55">
        <v>5</v>
      </c>
      <c r="E55" t="s">
        <v>12</v>
      </c>
      <c r="F55" t="s">
        <v>13</v>
      </c>
      <c r="G55" t="s">
        <v>14</v>
      </c>
      <c r="H55">
        <f>MONTH(Table1[[#This Row],[Date]])</f>
        <v>2</v>
      </c>
      <c r="I55" s="2">
        <f>WEEKDAY(Table1[[#This Row],[Date]])</f>
        <v>5</v>
      </c>
      <c r="J55">
        <f>Table1[[#This Row],[Credit]]-Table1[[#This Row],[Debit]]</f>
        <v>-5</v>
      </c>
      <c r="K55" s="7" t="str">
        <f>TEXT(Table1[[#This Row],[Date]], "mmm")</f>
        <v>Feb</v>
      </c>
    </row>
    <row r="56" spans="1:11" hidden="1" x14ac:dyDescent="0.3">
      <c r="A56" s="1">
        <v>44232</v>
      </c>
      <c r="B56" t="s">
        <v>11</v>
      </c>
      <c r="C56">
        <v>5</v>
      </c>
      <c r="E56" t="s">
        <v>12</v>
      </c>
      <c r="F56" t="s">
        <v>13</v>
      </c>
      <c r="G56" t="s">
        <v>14</v>
      </c>
      <c r="H56">
        <f>MONTH(Table1[[#This Row],[Date]])</f>
        <v>2</v>
      </c>
      <c r="I56" s="2">
        <f>WEEKDAY(Table1[[#This Row],[Date]])</f>
        <v>6</v>
      </c>
      <c r="J56">
        <f>Table1[[#This Row],[Credit]]-Table1[[#This Row],[Debit]]</f>
        <v>-5</v>
      </c>
      <c r="K56" s="7" t="str">
        <f>TEXT(Table1[[#This Row],[Date]], "mmm")</f>
        <v>Feb</v>
      </c>
    </row>
    <row r="57" spans="1:11" hidden="1" x14ac:dyDescent="0.3">
      <c r="A57" s="1">
        <v>44232</v>
      </c>
      <c r="B57" t="s">
        <v>21</v>
      </c>
      <c r="C57">
        <v>205</v>
      </c>
      <c r="E57" t="s">
        <v>22</v>
      </c>
      <c r="F57" t="s">
        <v>17</v>
      </c>
      <c r="G57" t="s">
        <v>14</v>
      </c>
      <c r="H57">
        <f>MONTH(Table1[[#This Row],[Date]])</f>
        <v>2</v>
      </c>
      <c r="I57" s="2">
        <f>WEEKDAY(Table1[[#This Row],[Date]])</f>
        <v>6</v>
      </c>
      <c r="J57">
        <f>Table1[[#This Row],[Credit]]-Table1[[#This Row],[Debit]]</f>
        <v>-205</v>
      </c>
      <c r="K57" s="7" t="str">
        <f>TEXT(Table1[[#This Row],[Date]], "mmm")</f>
        <v>Feb</v>
      </c>
    </row>
    <row r="58" spans="1:11" hidden="1" x14ac:dyDescent="0.3">
      <c r="A58" s="1">
        <v>44235</v>
      </c>
      <c r="B58" t="s">
        <v>23</v>
      </c>
      <c r="C58">
        <v>51.1</v>
      </c>
      <c r="E58" t="s">
        <v>24</v>
      </c>
      <c r="F58" t="s">
        <v>17</v>
      </c>
      <c r="G58" t="s">
        <v>14</v>
      </c>
      <c r="H58">
        <f>MONTH(Table1[[#This Row],[Date]])</f>
        <v>2</v>
      </c>
      <c r="I58" s="2">
        <f>WEEKDAY(Table1[[#This Row],[Date]])</f>
        <v>2</v>
      </c>
      <c r="J58">
        <f>Table1[[#This Row],[Credit]]-Table1[[#This Row],[Debit]]</f>
        <v>-51.1</v>
      </c>
      <c r="K58" s="7" t="str">
        <f>TEXT(Table1[[#This Row],[Date]], "mmm")</f>
        <v>Feb</v>
      </c>
    </row>
    <row r="59" spans="1:11" hidden="1" x14ac:dyDescent="0.3">
      <c r="A59" s="1">
        <v>44235</v>
      </c>
      <c r="B59" t="s">
        <v>11</v>
      </c>
      <c r="C59">
        <v>5</v>
      </c>
      <c r="E59" t="s">
        <v>12</v>
      </c>
      <c r="F59" t="s">
        <v>13</v>
      </c>
      <c r="G59" t="s">
        <v>14</v>
      </c>
      <c r="H59">
        <f>MONTH(Table1[[#This Row],[Date]])</f>
        <v>2</v>
      </c>
      <c r="I59" s="2">
        <f>WEEKDAY(Table1[[#This Row],[Date]])</f>
        <v>2</v>
      </c>
      <c r="J59">
        <f>Table1[[#This Row],[Credit]]-Table1[[#This Row],[Debit]]</f>
        <v>-5</v>
      </c>
      <c r="K59" s="7" t="str">
        <f>TEXT(Table1[[#This Row],[Date]], "mmm")</f>
        <v>Feb</v>
      </c>
    </row>
    <row r="60" spans="1:11" hidden="1" x14ac:dyDescent="0.3">
      <c r="A60" s="1">
        <v>44236</v>
      </c>
      <c r="B60" t="s">
        <v>11</v>
      </c>
      <c r="C60">
        <v>5</v>
      </c>
      <c r="E60" t="s">
        <v>12</v>
      </c>
      <c r="F60" t="s">
        <v>13</v>
      </c>
      <c r="G60" t="s">
        <v>14</v>
      </c>
      <c r="H60">
        <f>MONTH(Table1[[#This Row],[Date]])</f>
        <v>2</v>
      </c>
      <c r="I60" s="2">
        <f>WEEKDAY(Table1[[#This Row],[Date]])</f>
        <v>3</v>
      </c>
      <c r="J60">
        <f>Table1[[#This Row],[Credit]]-Table1[[#This Row],[Debit]]</f>
        <v>-5</v>
      </c>
      <c r="K60" s="7" t="str">
        <f>TEXT(Table1[[#This Row],[Date]], "mmm")</f>
        <v>Feb</v>
      </c>
    </row>
    <row r="61" spans="1:11" hidden="1" x14ac:dyDescent="0.3">
      <c r="A61" s="1">
        <v>44237</v>
      </c>
      <c r="B61" t="s">
        <v>25</v>
      </c>
      <c r="C61">
        <v>78</v>
      </c>
      <c r="E61" t="s">
        <v>48</v>
      </c>
      <c r="F61" t="s">
        <v>20</v>
      </c>
      <c r="G61" t="s">
        <v>14</v>
      </c>
      <c r="H61">
        <f>MONTH(Table1[[#This Row],[Date]])</f>
        <v>2</v>
      </c>
      <c r="I61" s="2">
        <f>WEEKDAY(Table1[[#This Row],[Date]])</f>
        <v>4</v>
      </c>
      <c r="J61">
        <f>Table1[[#This Row],[Credit]]-Table1[[#This Row],[Debit]]</f>
        <v>-78</v>
      </c>
      <c r="K61" s="7" t="str">
        <f>TEXT(Table1[[#This Row],[Date]], "mmm")</f>
        <v>Feb</v>
      </c>
    </row>
    <row r="62" spans="1:11" hidden="1" x14ac:dyDescent="0.3">
      <c r="A62" s="1">
        <v>44237</v>
      </c>
      <c r="B62" t="s">
        <v>11</v>
      </c>
      <c r="C62">
        <v>5</v>
      </c>
      <c r="E62" t="s">
        <v>12</v>
      </c>
      <c r="F62" t="s">
        <v>13</v>
      </c>
      <c r="G62" t="s">
        <v>14</v>
      </c>
      <c r="H62">
        <f>MONTH(Table1[[#This Row],[Date]])</f>
        <v>2</v>
      </c>
      <c r="I62" s="2">
        <f>WEEKDAY(Table1[[#This Row],[Date]])</f>
        <v>4</v>
      </c>
      <c r="J62">
        <f>Table1[[#This Row],[Credit]]-Table1[[#This Row],[Debit]]</f>
        <v>-5</v>
      </c>
      <c r="K62" s="7" t="str">
        <f>TEXT(Table1[[#This Row],[Date]], "mmm")</f>
        <v>Feb</v>
      </c>
    </row>
    <row r="63" spans="1:11" hidden="1" x14ac:dyDescent="0.3">
      <c r="A63" s="1">
        <v>44238</v>
      </c>
      <c r="B63" t="s">
        <v>11</v>
      </c>
      <c r="C63">
        <v>5</v>
      </c>
      <c r="E63" t="s">
        <v>12</v>
      </c>
      <c r="F63" t="s">
        <v>13</v>
      </c>
      <c r="G63" t="s">
        <v>14</v>
      </c>
      <c r="H63">
        <f>MONTH(Table1[[#This Row],[Date]])</f>
        <v>2</v>
      </c>
      <c r="I63" s="2">
        <f>WEEKDAY(Table1[[#This Row],[Date]])</f>
        <v>5</v>
      </c>
      <c r="J63">
        <f>Table1[[#This Row],[Credit]]-Table1[[#This Row],[Debit]]</f>
        <v>-5</v>
      </c>
      <c r="K63" s="7" t="str">
        <f>TEXT(Table1[[#This Row],[Date]], "mmm")</f>
        <v>Feb</v>
      </c>
    </row>
    <row r="64" spans="1:11" hidden="1" x14ac:dyDescent="0.3">
      <c r="A64" s="1">
        <v>44239</v>
      </c>
      <c r="B64" t="s">
        <v>21</v>
      </c>
      <c r="C64">
        <v>135.9</v>
      </c>
      <c r="E64" t="s">
        <v>22</v>
      </c>
      <c r="F64" t="s">
        <v>17</v>
      </c>
      <c r="G64" t="s">
        <v>14</v>
      </c>
      <c r="H64">
        <f>MONTH(Table1[[#This Row],[Date]])</f>
        <v>2</v>
      </c>
      <c r="I64" s="2">
        <f>WEEKDAY(Table1[[#This Row],[Date]])</f>
        <v>6</v>
      </c>
      <c r="J64">
        <f>Table1[[#This Row],[Credit]]-Table1[[#This Row],[Debit]]</f>
        <v>-135.9</v>
      </c>
      <c r="K64" s="7" t="str">
        <f>TEXT(Table1[[#This Row],[Date]], "mmm")</f>
        <v>Feb</v>
      </c>
    </row>
    <row r="65" spans="1:11" hidden="1" x14ac:dyDescent="0.3">
      <c r="A65" s="1">
        <v>44239</v>
      </c>
      <c r="B65" t="s">
        <v>11</v>
      </c>
      <c r="C65">
        <v>5</v>
      </c>
      <c r="E65" t="s">
        <v>12</v>
      </c>
      <c r="F65" t="s">
        <v>13</v>
      </c>
      <c r="G65" t="s">
        <v>14</v>
      </c>
      <c r="H65">
        <f>MONTH(Table1[[#This Row],[Date]])</f>
        <v>2</v>
      </c>
      <c r="I65" s="2">
        <f>WEEKDAY(Table1[[#This Row],[Date]])</f>
        <v>6</v>
      </c>
      <c r="J65">
        <f>Table1[[#This Row],[Credit]]-Table1[[#This Row],[Debit]]</f>
        <v>-5</v>
      </c>
      <c r="K65" s="7" t="str">
        <f>TEXT(Table1[[#This Row],[Date]], "mmm")</f>
        <v>Feb</v>
      </c>
    </row>
    <row r="66" spans="1:11" hidden="1" x14ac:dyDescent="0.3">
      <c r="A66" s="1">
        <v>44240</v>
      </c>
      <c r="B66" t="s">
        <v>11</v>
      </c>
      <c r="C66">
        <v>5</v>
      </c>
      <c r="E66" t="s">
        <v>12</v>
      </c>
      <c r="F66" t="s">
        <v>13</v>
      </c>
      <c r="G66" t="s">
        <v>14</v>
      </c>
      <c r="H66">
        <f>MONTH(Table1[[#This Row],[Date]])</f>
        <v>2</v>
      </c>
      <c r="I66" s="2">
        <f>WEEKDAY(Table1[[#This Row],[Date]])</f>
        <v>7</v>
      </c>
      <c r="J66">
        <f>Table1[[#This Row],[Credit]]-Table1[[#This Row],[Debit]]</f>
        <v>-5</v>
      </c>
      <c r="K66" s="7" t="str">
        <f>TEXT(Table1[[#This Row],[Date]], "mmm")</f>
        <v>Feb</v>
      </c>
    </row>
    <row r="67" spans="1:11" hidden="1" x14ac:dyDescent="0.3">
      <c r="A67" s="1">
        <v>44240</v>
      </c>
      <c r="B67" t="s">
        <v>26</v>
      </c>
      <c r="C67">
        <v>40.9</v>
      </c>
      <c r="E67" t="s">
        <v>27</v>
      </c>
      <c r="F67" t="s">
        <v>28</v>
      </c>
      <c r="G67" t="s">
        <v>14</v>
      </c>
      <c r="H67">
        <f>MONTH(Table1[[#This Row],[Date]])</f>
        <v>2</v>
      </c>
      <c r="I67" s="2">
        <f>WEEKDAY(Table1[[#This Row],[Date]])</f>
        <v>7</v>
      </c>
      <c r="J67">
        <f>Table1[[#This Row],[Credit]]-Table1[[#This Row],[Debit]]</f>
        <v>-40.9</v>
      </c>
      <c r="K67" s="7" t="str">
        <f>TEXT(Table1[[#This Row],[Date]], "mmm")</f>
        <v>Feb</v>
      </c>
    </row>
    <row r="68" spans="1:11" hidden="1" x14ac:dyDescent="0.3">
      <c r="A68" s="1">
        <v>44240</v>
      </c>
      <c r="B68" t="s">
        <v>29</v>
      </c>
      <c r="C68">
        <v>99</v>
      </c>
      <c r="E68" t="s">
        <v>30</v>
      </c>
      <c r="F68" t="s">
        <v>28</v>
      </c>
      <c r="G68" t="s">
        <v>14</v>
      </c>
      <c r="H68">
        <f>MONTH(Table1[[#This Row],[Date]])</f>
        <v>2</v>
      </c>
      <c r="I68" s="2">
        <f>WEEKDAY(Table1[[#This Row],[Date]])</f>
        <v>7</v>
      </c>
      <c r="J68">
        <f>Table1[[#This Row],[Credit]]-Table1[[#This Row],[Debit]]</f>
        <v>-99</v>
      </c>
      <c r="K68" s="7" t="str">
        <f>TEXT(Table1[[#This Row],[Date]], "mmm")</f>
        <v>Feb</v>
      </c>
    </row>
    <row r="69" spans="1:11" hidden="1" x14ac:dyDescent="0.3">
      <c r="A69" s="1">
        <v>44240</v>
      </c>
      <c r="B69" t="s">
        <v>31</v>
      </c>
      <c r="C69">
        <v>53</v>
      </c>
      <c r="E69" t="s">
        <v>32</v>
      </c>
      <c r="F69" t="s">
        <v>13</v>
      </c>
      <c r="G69" t="s">
        <v>14</v>
      </c>
      <c r="H69">
        <f>MONTH(Table1[[#This Row],[Date]])</f>
        <v>2</v>
      </c>
      <c r="I69" s="2">
        <f>WEEKDAY(Table1[[#This Row],[Date]])</f>
        <v>7</v>
      </c>
      <c r="J69">
        <f>Table1[[#This Row],[Credit]]-Table1[[#This Row],[Debit]]</f>
        <v>-53</v>
      </c>
      <c r="K69" s="7" t="str">
        <f>TEXT(Table1[[#This Row],[Date]], "mmm")</f>
        <v>Feb</v>
      </c>
    </row>
    <row r="70" spans="1:11" hidden="1" x14ac:dyDescent="0.3">
      <c r="A70" s="1">
        <v>44241</v>
      </c>
      <c r="B70" t="s">
        <v>33</v>
      </c>
      <c r="C70">
        <v>28.9</v>
      </c>
      <c r="E70" t="s">
        <v>34</v>
      </c>
      <c r="F70" t="s">
        <v>20</v>
      </c>
      <c r="G70" t="s">
        <v>14</v>
      </c>
      <c r="H70">
        <f>MONTH(Table1[[#This Row],[Date]])</f>
        <v>2</v>
      </c>
      <c r="I70" s="2">
        <f>WEEKDAY(Table1[[#This Row],[Date]])</f>
        <v>1</v>
      </c>
      <c r="J70">
        <f>Table1[[#This Row],[Credit]]-Table1[[#This Row],[Debit]]</f>
        <v>-28.9</v>
      </c>
      <c r="K70" s="7" t="str">
        <f>TEXT(Table1[[#This Row],[Date]], "mmm")</f>
        <v>Feb</v>
      </c>
    </row>
    <row r="71" spans="1:11" hidden="1" x14ac:dyDescent="0.3">
      <c r="A71" s="1">
        <v>44242</v>
      </c>
      <c r="B71" t="s">
        <v>35</v>
      </c>
      <c r="D71">
        <v>800</v>
      </c>
      <c r="E71" t="s">
        <v>36</v>
      </c>
      <c r="F71" t="s">
        <v>37</v>
      </c>
      <c r="G71" t="s">
        <v>10</v>
      </c>
      <c r="H71">
        <f>MONTH(Table1[[#This Row],[Date]])</f>
        <v>2</v>
      </c>
      <c r="I71" s="2">
        <f>WEEKDAY(Table1[[#This Row],[Date]])</f>
        <v>2</v>
      </c>
      <c r="J71">
        <f>Table1[[#This Row],[Credit]]-Table1[[#This Row],[Debit]]</f>
        <v>800</v>
      </c>
      <c r="K71" s="7" t="str">
        <f>TEXT(Table1[[#This Row],[Date]], "mmm")</f>
        <v>Feb</v>
      </c>
    </row>
    <row r="72" spans="1:11" hidden="1" x14ac:dyDescent="0.3">
      <c r="A72" s="1">
        <v>44242</v>
      </c>
      <c r="B72" t="s">
        <v>11</v>
      </c>
      <c r="C72">
        <v>5</v>
      </c>
      <c r="E72" t="s">
        <v>12</v>
      </c>
      <c r="F72" t="s">
        <v>13</v>
      </c>
      <c r="G72" t="s">
        <v>14</v>
      </c>
      <c r="H72">
        <f>MONTH(Table1[[#This Row],[Date]])</f>
        <v>2</v>
      </c>
      <c r="I72" s="2">
        <f>WEEKDAY(Table1[[#This Row],[Date]])</f>
        <v>2</v>
      </c>
      <c r="J72">
        <f>Table1[[#This Row],[Credit]]-Table1[[#This Row],[Debit]]</f>
        <v>-5</v>
      </c>
      <c r="K72" s="7" t="str">
        <f>TEXT(Table1[[#This Row],[Date]], "mmm")</f>
        <v>Feb</v>
      </c>
    </row>
    <row r="73" spans="1:11" hidden="1" x14ac:dyDescent="0.3">
      <c r="A73" s="1">
        <v>44243</v>
      </c>
      <c r="B73" t="s">
        <v>11</v>
      </c>
      <c r="C73">
        <v>5</v>
      </c>
      <c r="E73" t="s">
        <v>12</v>
      </c>
      <c r="F73" t="s">
        <v>13</v>
      </c>
      <c r="G73" t="s">
        <v>14</v>
      </c>
      <c r="H73">
        <f>MONTH(Table1[[#This Row],[Date]])</f>
        <v>2</v>
      </c>
      <c r="I73" s="2">
        <f>WEEKDAY(Table1[[#This Row],[Date]])</f>
        <v>3</v>
      </c>
      <c r="J73">
        <f>Table1[[#This Row],[Credit]]-Table1[[#This Row],[Debit]]</f>
        <v>-5</v>
      </c>
      <c r="K73" s="7" t="str">
        <f>TEXT(Table1[[#This Row],[Date]], "mmm")</f>
        <v>Feb</v>
      </c>
    </row>
    <row r="74" spans="1:11" hidden="1" x14ac:dyDescent="0.3">
      <c r="A74" s="1">
        <v>44243</v>
      </c>
      <c r="B74" t="s">
        <v>39</v>
      </c>
      <c r="C74">
        <v>40</v>
      </c>
      <c r="E74" t="s">
        <v>39</v>
      </c>
      <c r="F74" t="s">
        <v>17</v>
      </c>
      <c r="G74" t="s">
        <v>14</v>
      </c>
      <c r="H74">
        <f>MONTH(Table1[[#This Row],[Date]])</f>
        <v>2</v>
      </c>
      <c r="I74" s="2">
        <f>WEEKDAY(Table1[[#This Row],[Date]])</f>
        <v>3</v>
      </c>
      <c r="J74">
        <f>Table1[[#This Row],[Credit]]-Table1[[#This Row],[Debit]]</f>
        <v>-40</v>
      </c>
      <c r="K74" s="7" t="str">
        <f>TEXT(Table1[[#This Row],[Date]], "mmm")</f>
        <v>Feb</v>
      </c>
    </row>
    <row r="75" spans="1:11" hidden="1" x14ac:dyDescent="0.3">
      <c r="A75" s="1">
        <v>44244</v>
      </c>
      <c r="B75" t="s">
        <v>40</v>
      </c>
      <c r="C75">
        <v>45.9</v>
      </c>
      <c r="E75" t="s">
        <v>41</v>
      </c>
      <c r="F75" t="s">
        <v>28</v>
      </c>
      <c r="G75" t="s">
        <v>14</v>
      </c>
      <c r="H75">
        <f>MONTH(Table1[[#This Row],[Date]])</f>
        <v>2</v>
      </c>
      <c r="I75" s="2">
        <f>WEEKDAY(Table1[[#This Row],[Date]])</f>
        <v>4</v>
      </c>
      <c r="J75">
        <f>Table1[[#This Row],[Credit]]-Table1[[#This Row],[Debit]]</f>
        <v>-45.9</v>
      </c>
      <c r="K75" s="7" t="str">
        <f>TEXT(Table1[[#This Row],[Date]], "mmm")</f>
        <v>Feb</v>
      </c>
    </row>
    <row r="76" spans="1:11" hidden="1" x14ac:dyDescent="0.3">
      <c r="A76" s="1">
        <v>44244</v>
      </c>
      <c r="B76" t="s">
        <v>42</v>
      </c>
      <c r="C76">
        <v>35</v>
      </c>
      <c r="E76" t="s">
        <v>27</v>
      </c>
      <c r="F76" t="s">
        <v>28</v>
      </c>
      <c r="G76" t="s">
        <v>14</v>
      </c>
      <c r="H76">
        <f>MONTH(Table1[[#This Row],[Date]])</f>
        <v>2</v>
      </c>
      <c r="I76" s="2">
        <f>WEEKDAY(Table1[[#This Row],[Date]])</f>
        <v>4</v>
      </c>
      <c r="J76">
        <f>Table1[[#This Row],[Credit]]-Table1[[#This Row],[Debit]]</f>
        <v>-35</v>
      </c>
      <c r="K76" s="7" t="str">
        <f>TEXT(Table1[[#This Row],[Date]], "mmm")</f>
        <v>Feb</v>
      </c>
    </row>
    <row r="77" spans="1:11" hidden="1" x14ac:dyDescent="0.3">
      <c r="A77" s="1">
        <v>44244</v>
      </c>
      <c r="B77" t="s">
        <v>11</v>
      </c>
      <c r="C77">
        <v>5</v>
      </c>
      <c r="E77" t="s">
        <v>12</v>
      </c>
      <c r="F77" t="s">
        <v>13</v>
      </c>
      <c r="G77" t="s">
        <v>14</v>
      </c>
      <c r="H77">
        <f>MONTH(Table1[[#This Row],[Date]])</f>
        <v>2</v>
      </c>
      <c r="I77" s="2">
        <f>WEEKDAY(Table1[[#This Row],[Date]])</f>
        <v>4</v>
      </c>
      <c r="J77">
        <f>Table1[[#This Row],[Credit]]-Table1[[#This Row],[Debit]]</f>
        <v>-5</v>
      </c>
      <c r="K77" s="7" t="str">
        <f>TEXT(Table1[[#This Row],[Date]], "mmm")</f>
        <v>Feb</v>
      </c>
    </row>
    <row r="78" spans="1:11" hidden="1" x14ac:dyDescent="0.3">
      <c r="A78" s="1">
        <v>44245</v>
      </c>
      <c r="B78" t="s">
        <v>11</v>
      </c>
      <c r="C78">
        <v>5</v>
      </c>
      <c r="E78" t="s">
        <v>12</v>
      </c>
      <c r="F78" t="s">
        <v>13</v>
      </c>
      <c r="G78" t="s">
        <v>14</v>
      </c>
      <c r="H78">
        <f>MONTH(Table1[[#This Row],[Date]])</f>
        <v>2</v>
      </c>
      <c r="I78" s="2">
        <f>WEEKDAY(Table1[[#This Row],[Date]])</f>
        <v>5</v>
      </c>
      <c r="J78">
        <f>Table1[[#This Row],[Credit]]-Table1[[#This Row],[Debit]]</f>
        <v>-5</v>
      </c>
      <c r="K78" s="7" t="str">
        <f>TEXT(Table1[[#This Row],[Date]], "mmm")</f>
        <v>Feb</v>
      </c>
    </row>
    <row r="79" spans="1:11" hidden="1" x14ac:dyDescent="0.3">
      <c r="A79" s="1">
        <v>44246</v>
      </c>
      <c r="B79" t="s">
        <v>11</v>
      </c>
      <c r="C79">
        <v>5</v>
      </c>
      <c r="E79" t="s">
        <v>12</v>
      </c>
      <c r="F79" t="s">
        <v>13</v>
      </c>
      <c r="G79" t="s">
        <v>14</v>
      </c>
      <c r="H79">
        <f>MONTH(Table1[[#This Row],[Date]])</f>
        <v>2</v>
      </c>
      <c r="I79" s="2">
        <f>WEEKDAY(Table1[[#This Row],[Date]])</f>
        <v>6</v>
      </c>
      <c r="J79">
        <f>Table1[[#This Row],[Credit]]-Table1[[#This Row],[Debit]]</f>
        <v>-5</v>
      </c>
      <c r="K79" s="7" t="str">
        <f>TEXT(Table1[[#This Row],[Date]], "mmm")</f>
        <v>Feb</v>
      </c>
    </row>
    <row r="80" spans="1:11" hidden="1" x14ac:dyDescent="0.3">
      <c r="A80" s="1">
        <v>44246</v>
      </c>
      <c r="B80" t="s">
        <v>21</v>
      </c>
      <c r="C80">
        <v>171</v>
      </c>
      <c r="E80" t="s">
        <v>22</v>
      </c>
      <c r="F80" t="s">
        <v>17</v>
      </c>
      <c r="G80" t="s">
        <v>14</v>
      </c>
      <c r="H80">
        <f>MONTH(Table1[[#This Row],[Date]])</f>
        <v>2</v>
      </c>
      <c r="I80" s="2">
        <f>WEEKDAY(Table1[[#This Row],[Date]])</f>
        <v>6</v>
      </c>
      <c r="J80">
        <f>Table1[[#This Row],[Credit]]-Table1[[#This Row],[Debit]]</f>
        <v>-171</v>
      </c>
      <c r="K80" s="7" t="str">
        <f>TEXT(Table1[[#This Row],[Date]], "mmm")</f>
        <v>Feb</v>
      </c>
    </row>
    <row r="81" spans="1:11" hidden="1" x14ac:dyDescent="0.3">
      <c r="A81" s="1">
        <v>44247</v>
      </c>
      <c r="B81" t="s">
        <v>43</v>
      </c>
      <c r="C81">
        <v>37.9</v>
      </c>
      <c r="E81" t="s">
        <v>32</v>
      </c>
      <c r="F81" t="s">
        <v>13</v>
      </c>
      <c r="G81" t="s">
        <v>14</v>
      </c>
      <c r="H81">
        <f>MONTH(Table1[[#This Row],[Date]])</f>
        <v>2</v>
      </c>
      <c r="I81" s="2">
        <f>WEEKDAY(Table1[[#This Row],[Date]])</f>
        <v>7</v>
      </c>
      <c r="J81">
        <f>Table1[[#This Row],[Credit]]-Table1[[#This Row],[Debit]]</f>
        <v>-37.9</v>
      </c>
      <c r="K81" s="7" t="str">
        <f>TEXT(Table1[[#This Row],[Date]], "mmm")</f>
        <v>Feb</v>
      </c>
    </row>
    <row r="82" spans="1:11" hidden="1" x14ac:dyDescent="0.3">
      <c r="A82" s="1">
        <v>44248</v>
      </c>
      <c r="B82" t="s">
        <v>44</v>
      </c>
      <c r="C82">
        <v>12.9</v>
      </c>
      <c r="E82" t="s">
        <v>32</v>
      </c>
      <c r="F82" t="s">
        <v>13</v>
      </c>
      <c r="G82" t="s">
        <v>14</v>
      </c>
      <c r="H82">
        <f>MONTH(Table1[[#This Row],[Date]])</f>
        <v>2</v>
      </c>
      <c r="I82" s="2">
        <f>WEEKDAY(Table1[[#This Row],[Date]])</f>
        <v>1</v>
      </c>
      <c r="J82">
        <f>Table1[[#This Row],[Credit]]-Table1[[#This Row],[Debit]]</f>
        <v>-12.9</v>
      </c>
      <c r="K82" s="7" t="str">
        <f>TEXT(Table1[[#This Row],[Date]], "mmm")</f>
        <v>Feb</v>
      </c>
    </row>
    <row r="83" spans="1:11" hidden="1" x14ac:dyDescent="0.3">
      <c r="A83" s="1">
        <v>44249</v>
      </c>
      <c r="B83" t="s">
        <v>45</v>
      </c>
      <c r="C83">
        <v>55</v>
      </c>
      <c r="E83" t="s">
        <v>46</v>
      </c>
      <c r="F83" t="s">
        <v>47</v>
      </c>
      <c r="G83" t="s">
        <v>14</v>
      </c>
      <c r="H83">
        <f>MONTH(Table1[[#This Row],[Date]])</f>
        <v>2</v>
      </c>
      <c r="I83" s="2">
        <f>WEEKDAY(Table1[[#This Row],[Date]])</f>
        <v>2</v>
      </c>
      <c r="J83">
        <f>Table1[[#This Row],[Credit]]-Table1[[#This Row],[Debit]]</f>
        <v>-55</v>
      </c>
      <c r="K83" s="7" t="str">
        <f>TEXT(Table1[[#This Row],[Date]], "mmm")</f>
        <v>Feb</v>
      </c>
    </row>
    <row r="84" spans="1:11" hidden="1" x14ac:dyDescent="0.3">
      <c r="A84" s="1">
        <v>44249</v>
      </c>
      <c r="B84" t="s">
        <v>25</v>
      </c>
      <c r="C84">
        <v>64.099999999999994</v>
      </c>
      <c r="E84" t="s">
        <v>48</v>
      </c>
      <c r="F84" t="s">
        <v>20</v>
      </c>
      <c r="G84" t="s">
        <v>14</v>
      </c>
      <c r="H84">
        <f>MONTH(Table1[[#This Row],[Date]])</f>
        <v>2</v>
      </c>
      <c r="I84" s="2">
        <f>WEEKDAY(Table1[[#This Row],[Date]])</f>
        <v>2</v>
      </c>
      <c r="J84">
        <f>Table1[[#This Row],[Credit]]-Table1[[#This Row],[Debit]]</f>
        <v>-64.099999999999994</v>
      </c>
      <c r="K84" s="7" t="str">
        <f>TEXT(Table1[[#This Row],[Date]], "mmm")</f>
        <v>Feb</v>
      </c>
    </row>
    <row r="85" spans="1:11" hidden="1" x14ac:dyDescent="0.3">
      <c r="A85" s="1">
        <v>44249</v>
      </c>
      <c r="B85" t="s">
        <v>11</v>
      </c>
      <c r="C85">
        <v>5</v>
      </c>
      <c r="E85" t="s">
        <v>12</v>
      </c>
      <c r="F85" t="s">
        <v>13</v>
      </c>
      <c r="G85" t="s">
        <v>14</v>
      </c>
      <c r="H85">
        <f>MONTH(Table1[[#This Row],[Date]])</f>
        <v>2</v>
      </c>
      <c r="I85" s="2">
        <f>WEEKDAY(Table1[[#This Row],[Date]])</f>
        <v>2</v>
      </c>
      <c r="J85">
        <f>Table1[[#This Row],[Credit]]-Table1[[#This Row],[Debit]]</f>
        <v>-5</v>
      </c>
      <c r="K85" s="7" t="str">
        <f>TEXT(Table1[[#This Row],[Date]], "mmm")</f>
        <v>Feb</v>
      </c>
    </row>
    <row r="86" spans="1:11" hidden="1" x14ac:dyDescent="0.3">
      <c r="A86" s="1">
        <v>44250</v>
      </c>
      <c r="B86" t="s">
        <v>11</v>
      </c>
      <c r="C86">
        <v>5</v>
      </c>
      <c r="E86" t="s">
        <v>12</v>
      </c>
      <c r="F86" t="s">
        <v>13</v>
      </c>
      <c r="G86" t="s">
        <v>14</v>
      </c>
      <c r="H86">
        <f>MONTH(Table1[[#This Row],[Date]])</f>
        <v>2</v>
      </c>
      <c r="I86" s="2">
        <f>WEEKDAY(Table1[[#This Row],[Date]])</f>
        <v>3</v>
      </c>
      <c r="J86">
        <f>Table1[[#This Row],[Credit]]-Table1[[#This Row],[Debit]]</f>
        <v>-5</v>
      </c>
      <c r="K86" s="7" t="str">
        <f>TEXT(Table1[[#This Row],[Date]], "mmm")</f>
        <v>Feb</v>
      </c>
    </row>
    <row r="87" spans="1:11" hidden="1" x14ac:dyDescent="0.3">
      <c r="A87" s="1">
        <v>44251</v>
      </c>
      <c r="B87" t="s">
        <v>11</v>
      </c>
      <c r="C87">
        <v>5</v>
      </c>
      <c r="E87" t="s">
        <v>12</v>
      </c>
      <c r="F87" t="s">
        <v>13</v>
      </c>
      <c r="G87" t="s">
        <v>14</v>
      </c>
      <c r="H87">
        <f>MONTH(Table1[[#This Row],[Date]])</f>
        <v>2</v>
      </c>
      <c r="I87" s="2">
        <f>WEEKDAY(Table1[[#This Row],[Date]])</f>
        <v>4</v>
      </c>
      <c r="J87">
        <f>Table1[[#This Row],[Credit]]-Table1[[#This Row],[Debit]]</f>
        <v>-5</v>
      </c>
      <c r="K87" s="7" t="str">
        <f>TEXT(Table1[[#This Row],[Date]], "mmm")</f>
        <v>Feb</v>
      </c>
    </row>
    <row r="88" spans="1:11" hidden="1" x14ac:dyDescent="0.3">
      <c r="A88" s="1">
        <v>44252</v>
      </c>
      <c r="B88" t="s">
        <v>11</v>
      </c>
      <c r="C88">
        <v>5</v>
      </c>
      <c r="E88" t="s">
        <v>12</v>
      </c>
      <c r="F88" t="s">
        <v>13</v>
      </c>
      <c r="G88" t="s">
        <v>14</v>
      </c>
      <c r="H88">
        <f>MONTH(Table1[[#This Row],[Date]])</f>
        <v>2</v>
      </c>
      <c r="I88" s="2">
        <f>WEEKDAY(Table1[[#This Row],[Date]])</f>
        <v>5</v>
      </c>
      <c r="J88">
        <f>Table1[[#This Row],[Credit]]-Table1[[#This Row],[Debit]]</f>
        <v>-5</v>
      </c>
      <c r="K88" s="7" t="str">
        <f>TEXT(Table1[[#This Row],[Date]], "mmm")</f>
        <v>Feb</v>
      </c>
    </row>
    <row r="89" spans="1:11" hidden="1" x14ac:dyDescent="0.3">
      <c r="A89" s="1">
        <v>44253</v>
      </c>
      <c r="B89" t="s">
        <v>11</v>
      </c>
      <c r="C89">
        <v>5</v>
      </c>
      <c r="E89" t="s">
        <v>12</v>
      </c>
      <c r="F89" t="s">
        <v>13</v>
      </c>
      <c r="G89" t="s">
        <v>14</v>
      </c>
      <c r="H89">
        <f>MONTH(Table1[[#This Row],[Date]])</f>
        <v>2</v>
      </c>
      <c r="I89" s="2">
        <f>WEEKDAY(Table1[[#This Row],[Date]])</f>
        <v>6</v>
      </c>
      <c r="J89">
        <f>Table1[[#This Row],[Credit]]-Table1[[#This Row],[Debit]]</f>
        <v>-5</v>
      </c>
      <c r="K89" s="7" t="str">
        <f>TEXT(Table1[[#This Row],[Date]], "mmm")</f>
        <v>Feb</v>
      </c>
    </row>
    <row r="90" spans="1:11" hidden="1" x14ac:dyDescent="0.3">
      <c r="A90" s="1">
        <v>44253</v>
      </c>
      <c r="B90" t="s">
        <v>21</v>
      </c>
      <c r="C90">
        <v>162.9</v>
      </c>
      <c r="E90" t="s">
        <v>22</v>
      </c>
      <c r="F90" t="s">
        <v>17</v>
      </c>
      <c r="G90" t="s">
        <v>14</v>
      </c>
      <c r="H90">
        <f>MONTH(Table1[[#This Row],[Date]])</f>
        <v>2</v>
      </c>
      <c r="I90" s="2">
        <f>WEEKDAY(Table1[[#This Row],[Date]])</f>
        <v>6</v>
      </c>
      <c r="J90">
        <f>Table1[[#This Row],[Credit]]-Table1[[#This Row],[Debit]]</f>
        <v>-162.9</v>
      </c>
      <c r="K90" s="7" t="str">
        <f>TEXT(Table1[[#This Row],[Date]], "mmm")</f>
        <v>Feb</v>
      </c>
    </row>
    <row r="91" spans="1:11" hidden="1" x14ac:dyDescent="0.3">
      <c r="A91" s="1">
        <v>44254</v>
      </c>
      <c r="B91" t="s">
        <v>49</v>
      </c>
      <c r="C91">
        <v>125.9</v>
      </c>
      <c r="E91" t="s">
        <v>30</v>
      </c>
      <c r="F91" t="s">
        <v>28</v>
      </c>
      <c r="G91" t="s">
        <v>14</v>
      </c>
      <c r="H91">
        <f>MONTH(Table1[[#This Row],[Date]])</f>
        <v>2</v>
      </c>
      <c r="I91" s="2">
        <f>WEEKDAY(Table1[[#This Row],[Date]])</f>
        <v>7</v>
      </c>
      <c r="J91">
        <f>Table1[[#This Row],[Credit]]-Table1[[#This Row],[Debit]]</f>
        <v>-125.9</v>
      </c>
      <c r="K91" s="7" t="str">
        <f>TEXT(Table1[[#This Row],[Date]], "mmm")</f>
        <v>Feb</v>
      </c>
    </row>
    <row r="92" spans="1:11" hidden="1" x14ac:dyDescent="0.3">
      <c r="A92" s="1">
        <v>44254</v>
      </c>
      <c r="B92" t="s">
        <v>51</v>
      </c>
      <c r="C92">
        <v>137</v>
      </c>
      <c r="E92" t="s">
        <v>30</v>
      </c>
      <c r="F92" t="s">
        <v>28</v>
      </c>
      <c r="G92" t="s">
        <v>14</v>
      </c>
      <c r="H92">
        <f>MONTH(Table1[[#This Row],[Date]])</f>
        <v>2</v>
      </c>
      <c r="I92" s="2">
        <f>WEEKDAY(Table1[[#This Row],[Date]])</f>
        <v>7</v>
      </c>
      <c r="J92">
        <f>Table1[[#This Row],[Credit]]-Table1[[#This Row],[Debit]]</f>
        <v>-137</v>
      </c>
      <c r="K92" s="7" t="str">
        <f>TEXT(Table1[[#This Row],[Date]], "mmm")</f>
        <v>Feb</v>
      </c>
    </row>
    <row r="93" spans="1:11" hidden="1" x14ac:dyDescent="0.3">
      <c r="A93" s="1">
        <v>44255</v>
      </c>
      <c r="B93" t="s">
        <v>29</v>
      </c>
      <c r="C93">
        <v>146.1</v>
      </c>
      <c r="E93" t="s">
        <v>30</v>
      </c>
      <c r="F93" t="s">
        <v>28</v>
      </c>
      <c r="G93" t="s">
        <v>14</v>
      </c>
      <c r="H93">
        <f>MONTH(Table1[[#This Row],[Date]])</f>
        <v>2</v>
      </c>
      <c r="I93" s="2">
        <f>WEEKDAY(Table1[[#This Row],[Date]])</f>
        <v>1</v>
      </c>
      <c r="J93">
        <f>Table1[[#This Row],[Credit]]-Table1[[#This Row],[Debit]]</f>
        <v>-146.1</v>
      </c>
      <c r="K93" s="7" t="str">
        <f>TEXT(Table1[[#This Row],[Date]], "mmm")</f>
        <v>Feb</v>
      </c>
    </row>
    <row r="94" spans="1:11" hidden="1" x14ac:dyDescent="0.3">
      <c r="A94" s="1">
        <v>44255</v>
      </c>
      <c r="B94" t="s">
        <v>33</v>
      </c>
      <c r="C94">
        <v>24.1</v>
      </c>
      <c r="E94" t="s">
        <v>34</v>
      </c>
      <c r="F94" t="s">
        <v>20</v>
      </c>
      <c r="G94" t="s">
        <v>14</v>
      </c>
      <c r="H94">
        <f>MONTH(Table1[[#This Row],[Date]])</f>
        <v>2</v>
      </c>
      <c r="I94" s="2">
        <f>WEEKDAY(Table1[[#This Row],[Date]])</f>
        <v>1</v>
      </c>
      <c r="J94">
        <f>Table1[[#This Row],[Credit]]-Table1[[#This Row],[Debit]]</f>
        <v>-24.1</v>
      </c>
      <c r="K94" s="7" t="str">
        <f>TEXT(Table1[[#This Row],[Date]], "mmm")</f>
        <v>Feb</v>
      </c>
    </row>
    <row r="95" spans="1:11" hidden="1" x14ac:dyDescent="0.3">
      <c r="A95" s="1">
        <v>44256</v>
      </c>
      <c r="B95" t="s">
        <v>7</v>
      </c>
      <c r="D95">
        <v>5000</v>
      </c>
      <c r="E95" t="s">
        <v>8</v>
      </c>
      <c r="F95" t="s">
        <v>9</v>
      </c>
      <c r="G95" t="s">
        <v>10</v>
      </c>
      <c r="H95">
        <f>MONTH(Table1[[#This Row],[Date]])</f>
        <v>3</v>
      </c>
      <c r="I95" s="2">
        <f>WEEKDAY(Table1[[#This Row],[Date]])</f>
        <v>2</v>
      </c>
      <c r="J95">
        <f>Table1[[#This Row],[Credit]]-Table1[[#This Row],[Debit]]</f>
        <v>5000</v>
      </c>
      <c r="K95" s="7" t="str">
        <f>TEXT(Table1[[#This Row],[Date]], "mmm")</f>
        <v>Mar</v>
      </c>
    </row>
    <row r="96" spans="1:11" hidden="1" x14ac:dyDescent="0.3">
      <c r="A96" s="1">
        <v>44256</v>
      </c>
      <c r="B96" t="s">
        <v>11</v>
      </c>
      <c r="C96">
        <v>5</v>
      </c>
      <c r="E96" t="s">
        <v>12</v>
      </c>
      <c r="F96" t="s">
        <v>13</v>
      </c>
      <c r="G96" t="s">
        <v>14</v>
      </c>
      <c r="H96">
        <f>MONTH(Table1[[#This Row],[Date]])</f>
        <v>3</v>
      </c>
      <c r="I96" s="2">
        <f>WEEKDAY(Table1[[#This Row],[Date]])</f>
        <v>2</v>
      </c>
      <c r="J96">
        <f>Table1[[#This Row],[Credit]]-Table1[[#This Row],[Debit]]</f>
        <v>-5</v>
      </c>
      <c r="K96" s="7" t="str">
        <f>TEXT(Table1[[#This Row],[Date]], "mmm")</f>
        <v>Mar</v>
      </c>
    </row>
    <row r="97" spans="1:11" hidden="1" x14ac:dyDescent="0.3">
      <c r="A97" s="1">
        <v>44257</v>
      </c>
      <c r="B97" t="s">
        <v>15</v>
      </c>
      <c r="C97">
        <v>900</v>
      </c>
      <c r="E97" t="s">
        <v>16</v>
      </c>
      <c r="F97" t="s">
        <v>17</v>
      </c>
      <c r="G97" t="s">
        <v>14</v>
      </c>
      <c r="H97">
        <f>MONTH(Table1[[#This Row],[Date]])</f>
        <v>3</v>
      </c>
      <c r="I97" s="2">
        <f>WEEKDAY(Table1[[#This Row],[Date]])</f>
        <v>3</v>
      </c>
      <c r="J97">
        <f>Table1[[#This Row],[Credit]]-Table1[[#This Row],[Debit]]</f>
        <v>-900</v>
      </c>
      <c r="K97" s="7" t="str">
        <f>TEXT(Table1[[#This Row],[Date]], "mmm")</f>
        <v>Mar</v>
      </c>
    </row>
    <row r="98" spans="1:11" hidden="1" x14ac:dyDescent="0.3">
      <c r="A98" s="1">
        <v>44257</v>
      </c>
      <c r="B98" t="s">
        <v>18</v>
      </c>
      <c r="C98">
        <v>150</v>
      </c>
      <c r="E98" t="s">
        <v>19</v>
      </c>
      <c r="F98" t="s">
        <v>20</v>
      </c>
      <c r="G98" t="s">
        <v>14</v>
      </c>
      <c r="H98">
        <f>MONTH(Table1[[#This Row],[Date]])</f>
        <v>3</v>
      </c>
      <c r="I98" s="2">
        <f>WEEKDAY(Table1[[#This Row],[Date]])</f>
        <v>3</v>
      </c>
      <c r="J98">
        <f>Table1[[#This Row],[Credit]]-Table1[[#This Row],[Debit]]</f>
        <v>-150</v>
      </c>
      <c r="K98" s="7" t="str">
        <f>TEXT(Table1[[#This Row],[Date]], "mmm")</f>
        <v>Mar</v>
      </c>
    </row>
    <row r="99" spans="1:11" hidden="1" x14ac:dyDescent="0.3">
      <c r="A99" s="1">
        <v>44257</v>
      </c>
      <c r="B99" t="s">
        <v>11</v>
      </c>
      <c r="C99">
        <v>5</v>
      </c>
      <c r="E99" t="s">
        <v>12</v>
      </c>
      <c r="F99" t="s">
        <v>13</v>
      </c>
      <c r="G99" t="s">
        <v>14</v>
      </c>
      <c r="H99">
        <f>MONTH(Table1[[#This Row],[Date]])</f>
        <v>3</v>
      </c>
      <c r="I99" s="2">
        <f>WEEKDAY(Table1[[#This Row],[Date]])</f>
        <v>3</v>
      </c>
      <c r="J99">
        <f>Table1[[#This Row],[Credit]]-Table1[[#This Row],[Debit]]</f>
        <v>-5</v>
      </c>
      <c r="K99" s="7" t="str">
        <f>TEXT(Table1[[#This Row],[Date]], "mmm")</f>
        <v>Mar</v>
      </c>
    </row>
    <row r="100" spans="1:11" hidden="1" x14ac:dyDescent="0.3">
      <c r="A100" s="1">
        <v>44258</v>
      </c>
      <c r="B100" t="s">
        <v>11</v>
      </c>
      <c r="C100">
        <v>5</v>
      </c>
      <c r="E100" t="s">
        <v>12</v>
      </c>
      <c r="F100" t="s">
        <v>13</v>
      </c>
      <c r="G100" t="s">
        <v>14</v>
      </c>
      <c r="H100">
        <f>MONTH(Table1[[#This Row],[Date]])</f>
        <v>3</v>
      </c>
      <c r="I100" s="2">
        <f>WEEKDAY(Table1[[#This Row],[Date]])</f>
        <v>4</v>
      </c>
      <c r="J100">
        <f>Table1[[#This Row],[Credit]]-Table1[[#This Row],[Debit]]</f>
        <v>-5</v>
      </c>
      <c r="K100" s="7" t="str">
        <f>TEXT(Table1[[#This Row],[Date]], "mmm")</f>
        <v>Mar</v>
      </c>
    </row>
    <row r="101" spans="1:11" hidden="1" x14ac:dyDescent="0.3">
      <c r="A101" s="1">
        <v>44259</v>
      </c>
      <c r="B101" t="s">
        <v>11</v>
      </c>
      <c r="C101">
        <v>5</v>
      </c>
      <c r="E101" t="s">
        <v>12</v>
      </c>
      <c r="F101" t="s">
        <v>13</v>
      </c>
      <c r="G101" t="s">
        <v>14</v>
      </c>
      <c r="H101">
        <f>MONTH(Table1[[#This Row],[Date]])</f>
        <v>3</v>
      </c>
      <c r="I101" s="2">
        <f>WEEKDAY(Table1[[#This Row],[Date]])</f>
        <v>5</v>
      </c>
      <c r="J101">
        <f>Table1[[#This Row],[Credit]]-Table1[[#This Row],[Debit]]</f>
        <v>-5</v>
      </c>
      <c r="K101" s="7" t="str">
        <f>TEXT(Table1[[#This Row],[Date]], "mmm")</f>
        <v>Mar</v>
      </c>
    </row>
    <row r="102" spans="1:11" hidden="1" x14ac:dyDescent="0.3">
      <c r="A102" s="1">
        <v>44260</v>
      </c>
      <c r="B102" t="s">
        <v>11</v>
      </c>
      <c r="C102">
        <v>5</v>
      </c>
      <c r="E102" t="s">
        <v>12</v>
      </c>
      <c r="F102" t="s">
        <v>13</v>
      </c>
      <c r="G102" t="s">
        <v>14</v>
      </c>
      <c r="H102">
        <f>MONTH(Table1[[#This Row],[Date]])</f>
        <v>3</v>
      </c>
      <c r="I102" s="2">
        <f>WEEKDAY(Table1[[#This Row],[Date]])</f>
        <v>6</v>
      </c>
      <c r="J102">
        <f>Table1[[#This Row],[Credit]]-Table1[[#This Row],[Debit]]</f>
        <v>-5</v>
      </c>
      <c r="K102" s="7" t="str">
        <f>TEXT(Table1[[#This Row],[Date]], "mmm")</f>
        <v>Mar</v>
      </c>
    </row>
    <row r="103" spans="1:11" hidden="1" x14ac:dyDescent="0.3">
      <c r="A103" s="1">
        <v>44260</v>
      </c>
      <c r="B103" t="s">
        <v>21</v>
      </c>
      <c r="C103">
        <v>149</v>
      </c>
      <c r="E103" t="s">
        <v>22</v>
      </c>
      <c r="F103" t="s">
        <v>17</v>
      </c>
      <c r="G103" t="s">
        <v>14</v>
      </c>
      <c r="H103">
        <f>MONTH(Table1[[#This Row],[Date]])</f>
        <v>3</v>
      </c>
      <c r="I103" s="2">
        <f>WEEKDAY(Table1[[#This Row],[Date]])</f>
        <v>6</v>
      </c>
      <c r="J103">
        <f>Table1[[#This Row],[Credit]]-Table1[[#This Row],[Debit]]</f>
        <v>-149</v>
      </c>
      <c r="K103" s="7" t="str">
        <f>TEXT(Table1[[#This Row],[Date]], "mmm")</f>
        <v>Mar</v>
      </c>
    </row>
    <row r="104" spans="1:11" hidden="1" x14ac:dyDescent="0.3">
      <c r="A104" s="1">
        <v>44263</v>
      </c>
      <c r="B104" t="s">
        <v>23</v>
      </c>
      <c r="C104">
        <v>52.1</v>
      </c>
      <c r="E104" t="s">
        <v>24</v>
      </c>
      <c r="F104" t="s">
        <v>17</v>
      </c>
      <c r="G104" t="s">
        <v>14</v>
      </c>
      <c r="H104">
        <f>MONTH(Table1[[#This Row],[Date]])</f>
        <v>3</v>
      </c>
      <c r="I104" s="2">
        <f>WEEKDAY(Table1[[#This Row],[Date]])</f>
        <v>2</v>
      </c>
      <c r="J104">
        <f>Table1[[#This Row],[Credit]]-Table1[[#This Row],[Debit]]</f>
        <v>-52.1</v>
      </c>
      <c r="K104" s="7" t="str">
        <f>TEXT(Table1[[#This Row],[Date]], "mmm")</f>
        <v>Mar</v>
      </c>
    </row>
    <row r="105" spans="1:11" hidden="1" x14ac:dyDescent="0.3">
      <c r="A105" s="1">
        <v>44263</v>
      </c>
      <c r="B105" t="s">
        <v>11</v>
      </c>
      <c r="C105">
        <v>5</v>
      </c>
      <c r="E105" t="s">
        <v>12</v>
      </c>
      <c r="F105" t="s">
        <v>13</v>
      </c>
      <c r="G105" t="s">
        <v>14</v>
      </c>
      <c r="H105">
        <f>MONTH(Table1[[#This Row],[Date]])</f>
        <v>3</v>
      </c>
      <c r="I105" s="2">
        <f>WEEKDAY(Table1[[#This Row],[Date]])</f>
        <v>2</v>
      </c>
      <c r="J105">
        <f>Table1[[#This Row],[Credit]]-Table1[[#This Row],[Debit]]</f>
        <v>-5</v>
      </c>
      <c r="K105" s="7" t="str">
        <f>TEXT(Table1[[#This Row],[Date]], "mmm")</f>
        <v>Mar</v>
      </c>
    </row>
    <row r="106" spans="1:11" hidden="1" x14ac:dyDescent="0.3">
      <c r="A106" s="1">
        <v>44264</v>
      </c>
      <c r="B106" t="s">
        <v>11</v>
      </c>
      <c r="C106">
        <v>5</v>
      </c>
      <c r="E106" t="s">
        <v>12</v>
      </c>
      <c r="F106" t="s">
        <v>13</v>
      </c>
      <c r="G106" t="s">
        <v>14</v>
      </c>
      <c r="H106">
        <f>MONTH(Table1[[#This Row],[Date]])</f>
        <v>3</v>
      </c>
      <c r="I106" s="2">
        <f>WEEKDAY(Table1[[#This Row],[Date]])</f>
        <v>3</v>
      </c>
      <c r="J106">
        <f>Table1[[#This Row],[Credit]]-Table1[[#This Row],[Debit]]</f>
        <v>-5</v>
      </c>
      <c r="K106" s="7" t="str">
        <f>TEXT(Table1[[#This Row],[Date]], "mmm")</f>
        <v>Mar</v>
      </c>
    </row>
    <row r="107" spans="1:11" hidden="1" x14ac:dyDescent="0.3">
      <c r="A107" s="1">
        <v>44265</v>
      </c>
      <c r="B107" t="s">
        <v>25</v>
      </c>
      <c r="C107">
        <v>78.900000000000006</v>
      </c>
      <c r="E107" t="s">
        <v>48</v>
      </c>
      <c r="F107" t="s">
        <v>20</v>
      </c>
      <c r="G107" t="s">
        <v>14</v>
      </c>
      <c r="H107">
        <f>MONTH(Table1[[#This Row],[Date]])</f>
        <v>3</v>
      </c>
      <c r="I107" s="2">
        <f>WEEKDAY(Table1[[#This Row],[Date]])</f>
        <v>4</v>
      </c>
      <c r="J107">
        <f>Table1[[#This Row],[Credit]]-Table1[[#This Row],[Debit]]</f>
        <v>-78.900000000000006</v>
      </c>
      <c r="K107" s="7" t="str">
        <f>TEXT(Table1[[#This Row],[Date]], "mmm")</f>
        <v>Mar</v>
      </c>
    </row>
    <row r="108" spans="1:11" hidden="1" x14ac:dyDescent="0.3">
      <c r="A108" s="1">
        <v>44265</v>
      </c>
      <c r="B108" t="s">
        <v>11</v>
      </c>
      <c r="C108">
        <v>5</v>
      </c>
      <c r="E108" t="s">
        <v>12</v>
      </c>
      <c r="F108" t="s">
        <v>13</v>
      </c>
      <c r="G108" t="s">
        <v>14</v>
      </c>
      <c r="H108">
        <f>MONTH(Table1[[#This Row],[Date]])</f>
        <v>3</v>
      </c>
      <c r="I108" s="2">
        <f>WEEKDAY(Table1[[#This Row],[Date]])</f>
        <v>4</v>
      </c>
      <c r="J108">
        <f>Table1[[#This Row],[Credit]]-Table1[[#This Row],[Debit]]</f>
        <v>-5</v>
      </c>
      <c r="K108" s="7" t="str">
        <f>TEXT(Table1[[#This Row],[Date]], "mmm")</f>
        <v>Mar</v>
      </c>
    </row>
    <row r="109" spans="1:11" hidden="1" x14ac:dyDescent="0.3">
      <c r="A109" s="1">
        <v>44266</v>
      </c>
      <c r="B109" t="s">
        <v>11</v>
      </c>
      <c r="C109">
        <v>5</v>
      </c>
      <c r="E109" t="s">
        <v>12</v>
      </c>
      <c r="F109" t="s">
        <v>13</v>
      </c>
      <c r="G109" t="s">
        <v>14</v>
      </c>
      <c r="H109">
        <f>MONTH(Table1[[#This Row],[Date]])</f>
        <v>3</v>
      </c>
      <c r="I109" s="2">
        <f>WEEKDAY(Table1[[#This Row],[Date]])</f>
        <v>5</v>
      </c>
      <c r="J109">
        <f>Table1[[#This Row],[Credit]]-Table1[[#This Row],[Debit]]</f>
        <v>-5</v>
      </c>
      <c r="K109" s="7" t="str">
        <f>TEXT(Table1[[#This Row],[Date]], "mmm")</f>
        <v>Mar</v>
      </c>
    </row>
    <row r="110" spans="1:11" hidden="1" x14ac:dyDescent="0.3">
      <c r="A110" s="1">
        <v>44267</v>
      </c>
      <c r="B110" t="s">
        <v>21</v>
      </c>
      <c r="C110">
        <v>137</v>
      </c>
      <c r="E110" t="s">
        <v>22</v>
      </c>
      <c r="F110" t="s">
        <v>17</v>
      </c>
      <c r="G110" t="s">
        <v>14</v>
      </c>
      <c r="H110">
        <f>MONTH(Table1[[#This Row],[Date]])</f>
        <v>3</v>
      </c>
      <c r="I110" s="2">
        <f>WEEKDAY(Table1[[#This Row],[Date]])</f>
        <v>6</v>
      </c>
      <c r="J110">
        <f>Table1[[#This Row],[Credit]]-Table1[[#This Row],[Debit]]</f>
        <v>-137</v>
      </c>
      <c r="K110" s="7" t="str">
        <f>TEXT(Table1[[#This Row],[Date]], "mmm")</f>
        <v>Mar</v>
      </c>
    </row>
    <row r="111" spans="1:11" hidden="1" x14ac:dyDescent="0.3">
      <c r="A111" s="1">
        <v>44267</v>
      </c>
      <c r="B111" t="s">
        <v>11</v>
      </c>
      <c r="C111">
        <v>5</v>
      </c>
      <c r="E111" t="s">
        <v>12</v>
      </c>
      <c r="F111" t="s">
        <v>13</v>
      </c>
      <c r="G111" t="s">
        <v>14</v>
      </c>
      <c r="H111">
        <f>MONTH(Table1[[#This Row],[Date]])</f>
        <v>3</v>
      </c>
      <c r="I111" s="2">
        <f>WEEKDAY(Table1[[#This Row],[Date]])</f>
        <v>6</v>
      </c>
      <c r="J111">
        <f>Table1[[#This Row],[Credit]]-Table1[[#This Row],[Debit]]</f>
        <v>-5</v>
      </c>
      <c r="K111" s="7" t="str">
        <f>TEXT(Table1[[#This Row],[Date]], "mmm")</f>
        <v>Mar</v>
      </c>
    </row>
    <row r="112" spans="1:11" hidden="1" x14ac:dyDescent="0.3">
      <c r="A112" s="1">
        <v>44268</v>
      </c>
      <c r="B112" t="s">
        <v>11</v>
      </c>
      <c r="C112">
        <v>5</v>
      </c>
      <c r="E112" t="s">
        <v>12</v>
      </c>
      <c r="F112" t="s">
        <v>13</v>
      </c>
      <c r="G112" t="s">
        <v>14</v>
      </c>
      <c r="H112">
        <f>MONTH(Table1[[#This Row],[Date]])</f>
        <v>3</v>
      </c>
      <c r="I112" s="2">
        <f>WEEKDAY(Table1[[#This Row],[Date]])</f>
        <v>7</v>
      </c>
      <c r="J112">
        <f>Table1[[#This Row],[Credit]]-Table1[[#This Row],[Debit]]</f>
        <v>-5</v>
      </c>
      <c r="K112" s="7" t="str">
        <f>TEXT(Table1[[#This Row],[Date]], "mmm")</f>
        <v>Mar</v>
      </c>
    </row>
    <row r="113" spans="1:11" hidden="1" x14ac:dyDescent="0.3">
      <c r="A113" s="1">
        <v>44268</v>
      </c>
      <c r="B113" t="s">
        <v>26</v>
      </c>
      <c r="C113">
        <v>41.8</v>
      </c>
      <c r="E113" t="s">
        <v>27</v>
      </c>
      <c r="F113" t="s">
        <v>28</v>
      </c>
      <c r="G113" t="s">
        <v>14</v>
      </c>
      <c r="H113">
        <f>MONTH(Table1[[#This Row],[Date]])</f>
        <v>3</v>
      </c>
      <c r="I113" s="2">
        <f>WEEKDAY(Table1[[#This Row],[Date]])</f>
        <v>7</v>
      </c>
      <c r="J113">
        <f>Table1[[#This Row],[Credit]]-Table1[[#This Row],[Debit]]</f>
        <v>-41.8</v>
      </c>
      <c r="K113" s="7" t="str">
        <f>TEXT(Table1[[#This Row],[Date]], "mmm")</f>
        <v>Mar</v>
      </c>
    </row>
    <row r="114" spans="1:11" hidden="1" x14ac:dyDescent="0.3">
      <c r="A114" s="1">
        <v>44268</v>
      </c>
      <c r="B114" t="s">
        <v>29</v>
      </c>
      <c r="C114">
        <v>99.9</v>
      </c>
      <c r="E114" t="s">
        <v>30</v>
      </c>
      <c r="F114" t="s">
        <v>28</v>
      </c>
      <c r="G114" t="s">
        <v>14</v>
      </c>
      <c r="H114">
        <f>MONTH(Table1[[#This Row],[Date]])</f>
        <v>3</v>
      </c>
      <c r="I114" s="2">
        <f>WEEKDAY(Table1[[#This Row],[Date]])</f>
        <v>7</v>
      </c>
      <c r="J114">
        <f>Table1[[#This Row],[Credit]]-Table1[[#This Row],[Debit]]</f>
        <v>-99.9</v>
      </c>
      <c r="K114" s="7" t="str">
        <f>TEXT(Table1[[#This Row],[Date]], "mmm")</f>
        <v>Mar</v>
      </c>
    </row>
    <row r="115" spans="1:11" hidden="1" x14ac:dyDescent="0.3">
      <c r="A115" s="1">
        <v>44268</v>
      </c>
      <c r="B115" t="s">
        <v>31</v>
      </c>
      <c r="C115">
        <v>54</v>
      </c>
      <c r="E115" t="s">
        <v>32</v>
      </c>
      <c r="F115" t="s">
        <v>13</v>
      </c>
      <c r="G115" t="s">
        <v>14</v>
      </c>
      <c r="H115">
        <f>MONTH(Table1[[#This Row],[Date]])</f>
        <v>3</v>
      </c>
      <c r="I115" s="2">
        <f>WEEKDAY(Table1[[#This Row],[Date]])</f>
        <v>7</v>
      </c>
      <c r="J115">
        <f>Table1[[#This Row],[Credit]]-Table1[[#This Row],[Debit]]</f>
        <v>-54</v>
      </c>
      <c r="K115" s="7" t="str">
        <f>TEXT(Table1[[#This Row],[Date]], "mmm")</f>
        <v>Mar</v>
      </c>
    </row>
    <row r="116" spans="1:11" hidden="1" x14ac:dyDescent="0.3">
      <c r="A116" s="1">
        <v>44269</v>
      </c>
      <c r="B116" t="s">
        <v>33</v>
      </c>
      <c r="C116">
        <v>30</v>
      </c>
      <c r="E116" t="s">
        <v>34</v>
      </c>
      <c r="F116" t="s">
        <v>20</v>
      </c>
      <c r="G116" t="s">
        <v>14</v>
      </c>
      <c r="H116">
        <f>MONTH(Table1[[#This Row],[Date]])</f>
        <v>3</v>
      </c>
      <c r="I116" s="2">
        <f>WEEKDAY(Table1[[#This Row],[Date]])</f>
        <v>1</v>
      </c>
      <c r="J116">
        <f>Table1[[#This Row],[Credit]]-Table1[[#This Row],[Debit]]</f>
        <v>-30</v>
      </c>
      <c r="K116" s="7" t="str">
        <f>TEXT(Table1[[#This Row],[Date]], "mmm")</f>
        <v>Mar</v>
      </c>
    </row>
    <row r="117" spans="1:11" hidden="1" x14ac:dyDescent="0.3">
      <c r="A117" s="1">
        <v>44270</v>
      </c>
      <c r="B117" t="s">
        <v>35</v>
      </c>
      <c r="D117">
        <v>1000</v>
      </c>
      <c r="E117" t="s">
        <v>36</v>
      </c>
      <c r="F117" t="s">
        <v>37</v>
      </c>
      <c r="G117" t="s">
        <v>10</v>
      </c>
      <c r="H117">
        <f>MONTH(Table1[[#This Row],[Date]])</f>
        <v>3</v>
      </c>
      <c r="I117" s="2">
        <f>WEEKDAY(Table1[[#This Row],[Date]])</f>
        <v>2</v>
      </c>
      <c r="J117">
        <f>Table1[[#This Row],[Credit]]-Table1[[#This Row],[Debit]]</f>
        <v>1000</v>
      </c>
      <c r="K117" s="7" t="str">
        <f>TEXT(Table1[[#This Row],[Date]], "mmm")</f>
        <v>Mar</v>
      </c>
    </row>
    <row r="118" spans="1:11" hidden="1" x14ac:dyDescent="0.3">
      <c r="A118" s="1">
        <v>44270</v>
      </c>
      <c r="B118" t="s">
        <v>11</v>
      </c>
      <c r="C118">
        <v>5</v>
      </c>
      <c r="E118" t="s">
        <v>12</v>
      </c>
      <c r="F118" t="s">
        <v>13</v>
      </c>
      <c r="G118" t="s">
        <v>14</v>
      </c>
      <c r="H118">
        <f>MONTH(Table1[[#This Row],[Date]])</f>
        <v>3</v>
      </c>
      <c r="I118" s="2">
        <f>WEEKDAY(Table1[[#This Row],[Date]])</f>
        <v>2</v>
      </c>
      <c r="J118">
        <f>Table1[[#This Row],[Credit]]-Table1[[#This Row],[Debit]]</f>
        <v>-5</v>
      </c>
      <c r="K118" s="7" t="str">
        <f>TEXT(Table1[[#This Row],[Date]], "mmm")</f>
        <v>Mar</v>
      </c>
    </row>
    <row r="119" spans="1:11" hidden="1" x14ac:dyDescent="0.3">
      <c r="A119" s="1">
        <v>44271</v>
      </c>
      <c r="B119" t="s">
        <v>11</v>
      </c>
      <c r="C119">
        <v>5</v>
      </c>
      <c r="E119" t="s">
        <v>12</v>
      </c>
      <c r="F119" t="s">
        <v>13</v>
      </c>
      <c r="G119" t="s">
        <v>14</v>
      </c>
      <c r="H119">
        <f>MONTH(Table1[[#This Row],[Date]])</f>
        <v>3</v>
      </c>
      <c r="I119" s="2">
        <f>WEEKDAY(Table1[[#This Row],[Date]])</f>
        <v>3</v>
      </c>
      <c r="J119">
        <f>Table1[[#This Row],[Credit]]-Table1[[#This Row],[Debit]]</f>
        <v>-5</v>
      </c>
      <c r="K119" s="7" t="str">
        <f>TEXT(Table1[[#This Row],[Date]], "mmm")</f>
        <v>Mar</v>
      </c>
    </row>
    <row r="120" spans="1:11" hidden="1" x14ac:dyDescent="0.3">
      <c r="A120" s="1">
        <v>44271</v>
      </c>
      <c r="B120" t="s">
        <v>52</v>
      </c>
      <c r="C120">
        <v>75</v>
      </c>
      <c r="E120" t="s">
        <v>53</v>
      </c>
      <c r="F120" t="s">
        <v>54</v>
      </c>
      <c r="G120" t="s">
        <v>14</v>
      </c>
      <c r="H120">
        <f>MONTH(Table1[[#This Row],[Date]])</f>
        <v>3</v>
      </c>
      <c r="I120" s="2">
        <f>WEEKDAY(Table1[[#This Row],[Date]])</f>
        <v>3</v>
      </c>
      <c r="J120">
        <f>Table1[[#This Row],[Credit]]-Table1[[#This Row],[Debit]]</f>
        <v>-75</v>
      </c>
      <c r="K120" s="7" t="str">
        <f>TEXT(Table1[[#This Row],[Date]], "mmm")</f>
        <v>Mar</v>
      </c>
    </row>
    <row r="121" spans="1:11" hidden="1" x14ac:dyDescent="0.3">
      <c r="A121" s="1">
        <v>44271</v>
      </c>
      <c r="B121" t="s">
        <v>39</v>
      </c>
      <c r="C121">
        <v>40</v>
      </c>
      <c r="E121" t="s">
        <v>39</v>
      </c>
      <c r="F121" t="s">
        <v>17</v>
      </c>
      <c r="G121" t="s">
        <v>14</v>
      </c>
      <c r="H121">
        <f>MONTH(Table1[[#This Row],[Date]])</f>
        <v>3</v>
      </c>
      <c r="I121" s="2">
        <f>WEEKDAY(Table1[[#This Row],[Date]])</f>
        <v>3</v>
      </c>
      <c r="J121">
        <f>Table1[[#This Row],[Credit]]-Table1[[#This Row],[Debit]]</f>
        <v>-40</v>
      </c>
      <c r="K121" s="7" t="str">
        <f>TEXT(Table1[[#This Row],[Date]], "mmm")</f>
        <v>Mar</v>
      </c>
    </row>
    <row r="122" spans="1:11" hidden="1" x14ac:dyDescent="0.3">
      <c r="A122" s="1">
        <v>44272</v>
      </c>
      <c r="B122" t="s">
        <v>40</v>
      </c>
      <c r="C122">
        <v>46.8</v>
      </c>
      <c r="E122" t="s">
        <v>41</v>
      </c>
      <c r="F122" t="s">
        <v>28</v>
      </c>
      <c r="G122" t="s">
        <v>14</v>
      </c>
      <c r="H122">
        <f>MONTH(Table1[[#This Row],[Date]])</f>
        <v>3</v>
      </c>
      <c r="I122" s="2">
        <f>WEEKDAY(Table1[[#This Row],[Date]])</f>
        <v>4</v>
      </c>
      <c r="J122">
        <f>Table1[[#This Row],[Credit]]-Table1[[#This Row],[Debit]]</f>
        <v>-46.8</v>
      </c>
      <c r="K122" s="7" t="str">
        <f>TEXT(Table1[[#This Row],[Date]], "mmm")</f>
        <v>Mar</v>
      </c>
    </row>
    <row r="123" spans="1:11" hidden="1" x14ac:dyDescent="0.3">
      <c r="A123" s="1">
        <v>44272</v>
      </c>
      <c r="B123" t="s">
        <v>42</v>
      </c>
      <c r="C123">
        <v>35</v>
      </c>
      <c r="E123" t="s">
        <v>27</v>
      </c>
      <c r="F123" t="s">
        <v>28</v>
      </c>
      <c r="G123" t="s">
        <v>14</v>
      </c>
      <c r="H123">
        <f>MONTH(Table1[[#This Row],[Date]])</f>
        <v>3</v>
      </c>
      <c r="I123" s="2">
        <f>WEEKDAY(Table1[[#This Row],[Date]])</f>
        <v>4</v>
      </c>
      <c r="J123">
        <f>Table1[[#This Row],[Credit]]-Table1[[#This Row],[Debit]]</f>
        <v>-35</v>
      </c>
      <c r="K123" s="7" t="str">
        <f>TEXT(Table1[[#This Row],[Date]], "mmm")</f>
        <v>Mar</v>
      </c>
    </row>
    <row r="124" spans="1:11" hidden="1" x14ac:dyDescent="0.3">
      <c r="A124" s="1">
        <v>44272</v>
      </c>
      <c r="B124" t="s">
        <v>11</v>
      </c>
      <c r="C124">
        <v>5</v>
      </c>
      <c r="E124" t="s">
        <v>12</v>
      </c>
      <c r="F124" t="s">
        <v>13</v>
      </c>
      <c r="G124" t="s">
        <v>14</v>
      </c>
      <c r="H124">
        <f>MONTH(Table1[[#This Row],[Date]])</f>
        <v>3</v>
      </c>
      <c r="I124" s="2">
        <f>WEEKDAY(Table1[[#This Row],[Date]])</f>
        <v>4</v>
      </c>
      <c r="J124">
        <f>Table1[[#This Row],[Credit]]-Table1[[#This Row],[Debit]]</f>
        <v>-5</v>
      </c>
      <c r="K124" s="7" t="str">
        <f>TEXT(Table1[[#This Row],[Date]], "mmm")</f>
        <v>Mar</v>
      </c>
    </row>
    <row r="125" spans="1:11" hidden="1" x14ac:dyDescent="0.3">
      <c r="A125" s="1">
        <v>44273</v>
      </c>
      <c r="B125" t="s">
        <v>11</v>
      </c>
      <c r="C125">
        <v>5</v>
      </c>
      <c r="E125" t="s">
        <v>12</v>
      </c>
      <c r="F125" t="s">
        <v>13</v>
      </c>
      <c r="G125" t="s">
        <v>14</v>
      </c>
      <c r="H125">
        <f>MONTH(Table1[[#This Row],[Date]])</f>
        <v>3</v>
      </c>
      <c r="I125" s="2">
        <f>WEEKDAY(Table1[[#This Row],[Date]])</f>
        <v>5</v>
      </c>
      <c r="J125">
        <f>Table1[[#This Row],[Credit]]-Table1[[#This Row],[Debit]]</f>
        <v>-5</v>
      </c>
      <c r="K125" s="7" t="str">
        <f>TEXT(Table1[[#This Row],[Date]], "mmm")</f>
        <v>Mar</v>
      </c>
    </row>
    <row r="126" spans="1:11" hidden="1" x14ac:dyDescent="0.3">
      <c r="A126" s="1">
        <v>44274</v>
      </c>
      <c r="B126" t="s">
        <v>11</v>
      </c>
      <c r="C126">
        <v>5</v>
      </c>
      <c r="E126" t="s">
        <v>12</v>
      </c>
      <c r="F126" t="s">
        <v>13</v>
      </c>
      <c r="G126" t="s">
        <v>14</v>
      </c>
      <c r="H126">
        <f>MONTH(Table1[[#This Row],[Date]])</f>
        <v>3</v>
      </c>
      <c r="I126" s="2">
        <f>WEEKDAY(Table1[[#This Row],[Date]])</f>
        <v>6</v>
      </c>
      <c r="J126">
        <f>Table1[[#This Row],[Credit]]-Table1[[#This Row],[Debit]]</f>
        <v>-5</v>
      </c>
      <c r="K126" s="7" t="str">
        <f>TEXT(Table1[[#This Row],[Date]], "mmm")</f>
        <v>Mar</v>
      </c>
    </row>
    <row r="127" spans="1:11" hidden="1" x14ac:dyDescent="0.3">
      <c r="A127" s="1">
        <v>44274</v>
      </c>
      <c r="B127" t="s">
        <v>21</v>
      </c>
      <c r="C127">
        <v>171.9</v>
      </c>
      <c r="E127" t="s">
        <v>22</v>
      </c>
      <c r="F127" t="s">
        <v>17</v>
      </c>
      <c r="G127" t="s">
        <v>14</v>
      </c>
      <c r="H127">
        <f>MONTH(Table1[[#This Row],[Date]])</f>
        <v>3</v>
      </c>
      <c r="I127" s="2">
        <f>WEEKDAY(Table1[[#This Row],[Date]])</f>
        <v>6</v>
      </c>
      <c r="J127">
        <f>Table1[[#This Row],[Credit]]-Table1[[#This Row],[Debit]]</f>
        <v>-171.9</v>
      </c>
      <c r="K127" s="7" t="str">
        <f>TEXT(Table1[[#This Row],[Date]], "mmm")</f>
        <v>Mar</v>
      </c>
    </row>
    <row r="128" spans="1:11" hidden="1" x14ac:dyDescent="0.3">
      <c r="A128" s="1">
        <v>44275</v>
      </c>
      <c r="B128" t="s">
        <v>43</v>
      </c>
      <c r="C128">
        <v>39</v>
      </c>
      <c r="E128" t="s">
        <v>32</v>
      </c>
      <c r="F128" t="s">
        <v>13</v>
      </c>
      <c r="G128" t="s">
        <v>14</v>
      </c>
      <c r="H128">
        <f>MONTH(Table1[[#This Row],[Date]])</f>
        <v>3</v>
      </c>
      <c r="I128" s="2">
        <f>WEEKDAY(Table1[[#This Row],[Date]])</f>
        <v>7</v>
      </c>
      <c r="J128">
        <f>Table1[[#This Row],[Credit]]-Table1[[#This Row],[Debit]]</f>
        <v>-39</v>
      </c>
      <c r="K128" s="7" t="str">
        <f>TEXT(Table1[[#This Row],[Date]], "mmm")</f>
        <v>Mar</v>
      </c>
    </row>
    <row r="129" spans="1:11" hidden="1" x14ac:dyDescent="0.3">
      <c r="A129" s="1">
        <v>44276</v>
      </c>
      <c r="B129" t="s">
        <v>44</v>
      </c>
      <c r="C129">
        <v>14</v>
      </c>
      <c r="E129" t="s">
        <v>32</v>
      </c>
      <c r="F129" t="s">
        <v>13</v>
      </c>
      <c r="G129" t="s">
        <v>14</v>
      </c>
      <c r="H129">
        <f>MONTH(Table1[[#This Row],[Date]])</f>
        <v>3</v>
      </c>
      <c r="I129" s="2">
        <f>WEEKDAY(Table1[[#This Row],[Date]])</f>
        <v>1</v>
      </c>
      <c r="J129">
        <f>Table1[[#This Row],[Credit]]-Table1[[#This Row],[Debit]]</f>
        <v>-14</v>
      </c>
      <c r="K129" s="7" t="str">
        <f>TEXT(Table1[[#This Row],[Date]], "mmm")</f>
        <v>Mar</v>
      </c>
    </row>
    <row r="130" spans="1:11" hidden="1" x14ac:dyDescent="0.3">
      <c r="A130" s="1">
        <v>44277</v>
      </c>
      <c r="B130" t="s">
        <v>45</v>
      </c>
      <c r="C130">
        <v>55</v>
      </c>
      <c r="E130" t="s">
        <v>46</v>
      </c>
      <c r="F130" t="s">
        <v>47</v>
      </c>
      <c r="G130" t="s">
        <v>14</v>
      </c>
      <c r="H130">
        <f>MONTH(Table1[[#This Row],[Date]])</f>
        <v>3</v>
      </c>
      <c r="I130" s="2">
        <f>WEEKDAY(Table1[[#This Row],[Date]])</f>
        <v>2</v>
      </c>
      <c r="J130">
        <f>Table1[[#This Row],[Credit]]-Table1[[#This Row],[Debit]]</f>
        <v>-55</v>
      </c>
      <c r="K130" s="7" t="str">
        <f>TEXT(Table1[[#This Row],[Date]], "mmm")</f>
        <v>Mar</v>
      </c>
    </row>
    <row r="131" spans="1:11" hidden="1" x14ac:dyDescent="0.3">
      <c r="A131" s="1">
        <v>44277</v>
      </c>
      <c r="B131" t="s">
        <v>25</v>
      </c>
      <c r="C131">
        <v>65</v>
      </c>
      <c r="E131" t="s">
        <v>48</v>
      </c>
      <c r="F131" t="s">
        <v>20</v>
      </c>
      <c r="G131" t="s">
        <v>14</v>
      </c>
      <c r="H131">
        <f>MONTH(Table1[[#This Row],[Date]])</f>
        <v>3</v>
      </c>
      <c r="I131" s="2">
        <f>WEEKDAY(Table1[[#This Row],[Date]])</f>
        <v>2</v>
      </c>
      <c r="J131">
        <f>Table1[[#This Row],[Credit]]-Table1[[#This Row],[Debit]]</f>
        <v>-65</v>
      </c>
      <c r="K131" s="7" t="str">
        <f>TEXT(Table1[[#This Row],[Date]], "mmm")</f>
        <v>Mar</v>
      </c>
    </row>
    <row r="132" spans="1:11" hidden="1" x14ac:dyDescent="0.3">
      <c r="A132" s="1">
        <v>44277</v>
      </c>
      <c r="B132" t="s">
        <v>11</v>
      </c>
      <c r="C132">
        <v>5</v>
      </c>
      <c r="E132" t="s">
        <v>12</v>
      </c>
      <c r="F132" t="s">
        <v>13</v>
      </c>
      <c r="G132" t="s">
        <v>14</v>
      </c>
      <c r="H132">
        <f>MONTH(Table1[[#This Row],[Date]])</f>
        <v>3</v>
      </c>
      <c r="I132" s="2">
        <f>WEEKDAY(Table1[[#This Row],[Date]])</f>
        <v>2</v>
      </c>
      <c r="J132">
        <f>Table1[[#This Row],[Credit]]-Table1[[#This Row],[Debit]]</f>
        <v>-5</v>
      </c>
      <c r="K132" s="7" t="str">
        <f>TEXT(Table1[[#This Row],[Date]], "mmm")</f>
        <v>Mar</v>
      </c>
    </row>
    <row r="133" spans="1:11" hidden="1" x14ac:dyDescent="0.3">
      <c r="A133" s="1">
        <v>44278</v>
      </c>
      <c r="B133" t="s">
        <v>11</v>
      </c>
      <c r="C133">
        <v>5</v>
      </c>
      <c r="E133" t="s">
        <v>12</v>
      </c>
      <c r="F133" t="s">
        <v>13</v>
      </c>
      <c r="G133" t="s">
        <v>14</v>
      </c>
      <c r="H133">
        <f>MONTH(Table1[[#This Row],[Date]])</f>
        <v>3</v>
      </c>
      <c r="I133" s="2">
        <f>WEEKDAY(Table1[[#This Row],[Date]])</f>
        <v>3</v>
      </c>
      <c r="J133">
        <f>Table1[[#This Row],[Credit]]-Table1[[#This Row],[Debit]]</f>
        <v>-5</v>
      </c>
      <c r="K133" s="7" t="str">
        <f>TEXT(Table1[[#This Row],[Date]], "mmm")</f>
        <v>Mar</v>
      </c>
    </row>
    <row r="134" spans="1:11" hidden="1" x14ac:dyDescent="0.3">
      <c r="A134" s="1">
        <v>44279</v>
      </c>
      <c r="B134" t="s">
        <v>11</v>
      </c>
      <c r="C134">
        <v>5</v>
      </c>
      <c r="E134" t="s">
        <v>12</v>
      </c>
      <c r="F134" t="s">
        <v>13</v>
      </c>
      <c r="G134" t="s">
        <v>14</v>
      </c>
      <c r="H134">
        <f>MONTH(Table1[[#This Row],[Date]])</f>
        <v>3</v>
      </c>
      <c r="I134" s="2">
        <f>WEEKDAY(Table1[[#This Row],[Date]])</f>
        <v>4</v>
      </c>
      <c r="J134">
        <f>Table1[[#This Row],[Credit]]-Table1[[#This Row],[Debit]]</f>
        <v>-5</v>
      </c>
      <c r="K134" s="7" t="str">
        <f>TEXT(Table1[[#This Row],[Date]], "mmm")</f>
        <v>Mar</v>
      </c>
    </row>
    <row r="135" spans="1:11" hidden="1" x14ac:dyDescent="0.3">
      <c r="A135" s="1">
        <v>44280</v>
      </c>
      <c r="B135" t="s">
        <v>11</v>
      </c>
      <c r="C135">
        <v>5</v>
      </c>
      <c r="E135" t="s">
        <v>12</v>
      </c>
      <c r="F135" t="s">
        <v>13</v>
      </c>
      <c r="G135" t="s">
        <v>14</v>
      </c>
      <c r="H135">
        <f>MONTH(Table1[[#This Row],[Date]])</f>
        <v>3</v>
      </c>
      <c r="I135" s="2">
        <f>WEEKDAY(Table1[[#This Row],[Date]])</f>
        <v>5</v>
      </c>
      <c r="J135">
        <f>Table1[[#This Row],[Credit]]-Table1[[#This Row],[Debit]]</f>
        <v>-5</v>
      </c>
      <c r="K135" s="7" t="str">
        <f>TEXT(Table1[[#This Row],[Date]], "mmm")</f>
        <v>Mar</v>
      </c>
    </row>
    <row r="136" spans="1:11" hidden="1" x14ac:dyDescent="0.3">
      <c r="A136" s="1">
        <v>44281</v>
      </c>
      <c r="B136" t="s">
        <v>11</v>
      </c>
      <c r="C136">
        <v>5</v>
      </c>
      <c r="E136" t="s">
        <v>12</v>
      </c>
      <c r="F136" t="s">
        <v>13</v>
      </c>
      <c r="G136" t="s">
        <v>14</v>
      </c>
      <c r="H136">
        <f>MONTH(Table1[[#This Row],[Date]])</f>
        <v>3</v>
      </c>
      <c r="I136" s="2">
        <f>WEEKDAY(Table1[[#This Row],[Date]])</f>
        <v>6</v>
      </c>
      <c r="J136">
        <f>Table1[[#This Row],[Credit]]-Table1[[#This Row],[Debit]]</f>
        <v>-5</v>
      </c>
      <c r="K136" s="7" t="str">
        <f>TEXT(Table1[[#This Row],[Date]], "mmm")</f>
        <v>Mar</v>
      </c>
    </row>
    <row r="137" spans="1:11" hidden="1" x14ac:dyDescent="0.3">
      <c r="A137" s="1">
        <v>44281</v>
      </c>
      <c r="B137" t="s">
        <v>21</v>
      </c>
      <c r="C137">
        <v>209</v>
      </c>
      <c r="E137" t="s">
        <v>22</v>
      </c>
      <c r="F137" t="s">
        <v>17</v>
      </c>
      <c r="G137" t="s">
        <v>14</v>
      </c>
      <c r="H137">
        <f>MONTH(Table1[[#This Row],[Date]])</f>
        <v>3</v>
      </c>
      <c r="I137" s="2">
        <f>WEEKDAY(Table1[[#This Row],[Date]])</f>
        <v>6</v>
      </c>
      <c r="J137">
        <f>Table1[[#This Row],[Credit]]-Table1[[#This Row],[Debit]]</f>
        <v>-209</v>
      </c>
      <c r="K137" s="7" t="str">
        <f>TEXT(Table1[[#This Row],[Date]], "mmm")</f>
        <v>Mar</v>
      </c>
    </row>
    <row r="138" spans="1:11" hidden="1" x14ac:dyDescent="0.3">
      <c r="A138" s="1">
        <v>44282</v>
      </c>
      <c r="B138" t="s">
        <v>49</v>
      </c>
      <c r="C138">
        <v>127</v>
      </c>
      <c r="E138" t="s">
        <v>30</v>
      </c>
      <c r="F138" t="s">
        <v>28</v>
      </c>
      <c r="G138" t="s">
        <v>14</v>
      </c>
      <c r="H138">
        <f>MONTH(Table1[[#This Row],[Date]])</f>
        <v>3</v>
      </c>
      <c r="I138" s="2">
        <f>WEEKDAY(Table1[[#This Row],[Date]])</f>
        <v>7</v>
      </c>
      <c r="J138">
        <f>Table1[[#This Row],[Credit]]-Table1[[#This Row],[Debit]]</f>
        <v>-127</v>
      </c>
      <c r="K138" s="7" t="str">
        <f>TEXT(Table1[[#This Row],[Date]], "mmm")</f>
        <v>Mar</v>
      </c>
    </row>
    <row r="139" spans="1:11" hidden="1" x14ac:dyDescent="0.3">
      <c r="A139" s="1">
        <v>44282</v>
      </c>
      <c r="B139" t="s">
        <v>55</v>
      </c>
      <c r="C139">
        <v>177.2</v>
      </c>
      <c r="E139" t="s">
        <v>30</v>
      </c>
      <c r="F139" t="s">
        <v>28</v>
      </c>
      <c r="G139" t="s">
        <v>14</v>
      </c>
      <c r="H139">
        <f>MONTH(Table1[[#This Row],[Date]])</f>
        <v>3</v>
      </c>
      <c r="I139" s="2">
        <f>WEEKDAY(Table1[[#This Row],[Date]])</f>
        <v>7</v>
      </c>
      <c r="J139">
        <f>Table1[[#This Row],[Credit]]-Table1[[#This Row],[Debit]]</f>
        <v>-177.2</v>
      </c>
      <c r="K139" s="7" t="str">
        <f>TEXT(Table1[[#This Row],[Date]], "mmm")</f>
        <v>Mar</v>
      </c>
    </row>
    <row r="140" spans="1:11" hidden="1" x14ac:dyDescent="0.3">
      <c r="A140" s="1">
        <v>44283</v>
      </c>
      <c r="B140" t="s">
        <v>29</v>
      </c>
      <c r="C140">
        <v>147.1</v>
      </c>
      <c r="E140" t="s">
        <v>30</v>
      </c>
      <c r="F140" t="s">
        <v>28</v>
      </c>
      <c r="G140" t="s">
        <v>14</v>
      </c>
      <c r="H140">
        <f>MONTH(Table1[[#This Row],[Date]])</f>
        <v>3</v>
      </c>
      <c r="I140" s="2">
        <f>WEEKDAY(Table1[[#This Row],[Date]])</f>
        <v>1</v>
      </c>
      <c r="J140">
        <f>Table1[[#This Row],[Credit]]-Table1[[#This Row],[Debit]]</f>
        <v>-147.1</v>
      </c>
      <c r="K140" s="7" t="str">
        <f>TEXT(Table1[[#This Row],[Date]], "mmm")</f>
        <v>Mar</v>
      </c>
    </row>
    <row r="141" spans="1:11" hidden="1" x14ac:dyDescent="0.3">
      <c r="A141" s="1">
        <v>44283</v>
      </c>
      <c r="B141" t="s">
        <v>33</v>
      </c>
      <c r="C141">
        <v>25</v>
      </c>
      <c r="E141" t="s">
        <v>34</v>
      </c>
      <c r="F141" t="s">
        <v>20</v>
      </c>
      <c r="G141" t="s">
        <v>14</v>
      </c>
      <c r="H141">
        <f>MONTH(Table1[[#This Row],[Date]])</f>
        <v>3</v>
      </c>
      <c r="I141" s="2">
        <f>WEEKDAY(Table1[[#This Row],[Date]])</f>
        <v>1</v>
      </c>
      <c r="J141">
        <f>Table1[[#This Row],[Credit]]-Table1[[#This Row],[Debit]]</f>
        <v>-25</v>
      </c>
      <c r="K141" s="7" t="str">
        <f>TEXT(Table1[[#This Row],[Date]], "mmm")</f>
        <v>Mar</v>
      </c>
    </row>
    <row r="142" spans="1:11" hidden="1" x14ac:dyDescent="0.3">
      <c r="A142" s="1">
        <v>44284</v>
      </c>
      <c r="B142" t="s">
        <v>56</v>
      </c>
      <c r="C142">
        <v>15</v>
      </c>
      <c r="E142" t="s">
        <v>32</v>
      </c>
      <c r="F142" t="s">
        <v>13</v>
      </c>
      <c r="G142" t="s">
        <v>14</v>
      </c>
      <c r="H142">
        <f>MONTH(Table1[[#This Row],[Date]])</f>
        <v>3</v>
      </c>
      <c r="I142" s="2">
        <f>WEEKDAY(Table1[[#This Row],[Date]])</f>
        <v>2</v>
      </c>
      <c r="J142">
        <f>Table1[[#This Row],[Credit]]-Table1[[#This Row],[Debit]]</f>
        <v>-15</v>
      </c>
      <c r="K142" s="7" t="str">
        <f>TEXT(Table1[[#This Row],[Date]], "mmm")</f>
        <v>Mar</v>
      </c>
    </row>
    <row r="143" spans="1:11" hidden="1" x14ac:dyDescent="0.3">
      <c r="A143" s="1">
        <v>44285</v>
      </c>
      <c r="B143" t="s">
        <v>11</v>
      </c>
      <c r="C143">
        <v>5</v>
      </c>
      <c r="E143" t="s">
        <v>12</v>
      </c>
      <c r="F143" t="s">
        <v>13</v>
      </c>
      <c r="G143" t="s">
        <v>14</v>
      </c>
      <c r="H143">
        <f>MONTH(Table1[[#This Row],[Date]])</f>
        <v>3</v>
      </c>
      <c r="I143" s="2">
        <f>WEEKDAY(Table1[[#This Row],[Date]])</f>
        <v>3</v>
      </c>
      <c r="J143">
        <f>Table1[[#This Row],[Credit]]-Table1[[#This Row],[Debit]]</f>
        <v>-5</v>
      </c>
      <c r="K143" s="7" t="str">
        <f>TEXT(Table1[[#This Row],[Date]], "mmm")</f>
        <v>Mar</v>
      </c>
    </row>
    <row r="144" spans="1:11" hidden="1" x14ac:dyDescent="0.3">
      <c r="A144" s="1">
        <v>44286</v>
      </c>
      <c r="B144" t="s">
        <v>11</v>
      </c>
      <c r="C144">
        <v>5</v>
      </c>
      <c r="E144" t="s">
        <v>12</v>
      </c>
      <c r="F144" t="s">
        <v>13</v>
      </c>
      <c r="G144" t="s">
        <v>14</v>
      </c>
      <c r="H144">
        <f>MONTH(Table1[[#This Row],[Date]])</f>
        <v>3</v>
      </c>
      <c r="I144" s="2">
        <f>WEEKDAY(Table1[[#This Row],[Date]])</f>
        <v>4</v>
      </c>
      <c r="J144">
        <f>Table1[[#This Row],[Credit]]-Table1[[#This Row],[Debit]]</f>
        <v>-5</v>
      </c>
      <c r="K144" s="7" t="str">
        <f>TEXT(Table1[[#This Row],[Date]], "mmm")</f>
        <v>Mar</v>
      </c>
    </row>
    <row r="145" spans="1:11" hidden="1" x14ac:dyDescent="0.3">
      <c r="A145" s="1">
        <v>44287</v>
      </c>
      <c r="B145" t="s">
        <v>7</v>
      </c>
      <c r="D145">
        <v>5000</v>
      </c>
      <c r="E145" t="s">
        <v>8</v>
      </c>
      <c r="F145" t="s">
        <v>9</v>
      </c>
      <c r="G145" t="s">
        <v>10</v>
      </c>
      <c r="H145">
        <f>MONTH(Table1[[#This Row],[Date]])</f>
        <v>4</v>
      </c>
      <c r="I145" s="2">
        <f>WEEKDAY(Table1[[#This Row],[Date]])</f>
        <v>5</v>
      </c>
      <c r="J145">
        <f>Table1[[#This Row],[Credit]]-Table1[[#This Row],[Debit]]</f>
        <v>5000</v>
      </c>
      <c r="K145" s="7" t="str">
        <f>TEXT(Table1[[#This Row],[Date]], "mmm")</f>
        <v>Apr</v>
      </c>
    </row>
    <row r="146" spans="1:11" hidden="1" x14ac:dyDescent="0.3">
      <c r="A146" s="1">
        <v>44287</v>
      </c>
      <c r="B146" t="s">
        <v>11</v>
      </c>
      <c r="C146">
        <v>5</v>
      </c>
      <c r="E146" t="s">
        <v>12</v>
      </c>
      <c r="F146" t="s">
        <v>13</v>
      </c>
      <c r="G146" t="s">
        <v>14</v>
      </c>
      <c r="H146">
        <f>MONTH(Table1[[#This Row],[Date]])</f>
        <v>4</v>
      </c>
      <c r="I146" s="2">
        <f>WEEKDAY(Table1[[#This Row],[Date]])</f>
        <v>5</v>
      </c>
      <c r="J146">
        <f>Table1[[#This Row],[Credit]]-Table1[[#This Row],[Debit]]</f>
        <v>-5</v>
      </c>
      <c r="K146" s="7" t="str">
        <f>TEXT(Table1[[#This Row],[Date]], "mmm")</f>
        <v>Apr</v>
      </c>
    </row>
    <row r="147" spans="1:11" hidden="1" x14ac:dyDescent="0.3">
      <c r="A147" s="1">
        <v>44288</v>
      </c>
      <c r="B147" t="s">
        <v>15</v>
      </c>
      <c r="C147">
        <v>900</v>
      </c>
      <c r="E147" t="s">
        <v>16</v>
      </c>
      <c r="F147" t="s">
        <v>17</v>
      </c>
      <c r="G147" t="s">
        <v>14</v>
      </c>
      <c r="H147">
        <f>MONTH(Table1[[#This Row],[Date]])</f>
        <v>4</v>
      </c>
      <c r="I147" s="2">
        <f>WEEKDAY(Table1[[#This Row],[Date]])</f>
        <v>6</v>
      </c>
      <c r="J147">
        <f>Table1[[#This Row],[Credit]]-Table1[[#This Row],[Debit]]</f>
        <v>-900</v>
      </c>
      <c r="K147" s="7" t="str">
        <f>TEXT(Table1[[#This Row],[Date]], "mmm")</f>
        <v>Apr</v>
      </c>
    </row>
    <row r="148" spans="1:11" hidden="1" x14ac:dyDescent="0.3">
      <c r="A148" s="1">
        <v>44288</v>
      </c>
      <c r="B148" t="s">
        <v>18</v>
      </c>
      <c r="C148">
        <v>150</v>
      </c>
      <c r="E148" t="s">
        <v>19</v>
      </c>
      <c r="F148" t="s">
        <v>20</v>
      </c>
      <c r="G148" t="s">
        <v>14</v>
      </c>
      <c r="H148">
        <f>MONTH(Table1[[#This Row],[Date]])</f>
        <v>4</v>
      </c>
      <c r="I148" s="2">
        <f>WEEKDAY(Table1[[#This Row],[Date]])</f>
        <v>6</v>
      </c>
      <c r="J148">
        <f>Table1[[#This Row],[Credit]]-Table1[[#This Row],[Debit]]</f>
        <v>-150</v>
      </c>
      <c r="K148" s="7" t="str">
        <f>TEXT(Table1[[#This Row],[Date]], "mmm")</f>
        <v>Apr</v>
      </c>
    </row>
    <row r="149" spans="1:11" hidden="1" x14ac:dyDescent="0.3">
      <c r="A149" s="1">
        <v>44288</v>
      </c>
      <c r="B149" t="s">
        <v>11</v>
      </c>
      <c r="C149">
        <v>5</v>
      </c>
      <c r="E149" t="s">
        <v>12</v>
      </c>
      <c r="F149" t="s">
        <v>13</v>
      </c>
      <c r="G149" t="s">
        <v>14</v>
      </c>
      <c r="H149">
        <f>MONTH(Table1[[#This Row],[Date]])</f>
        <v>4</v>
      </c>
      <c r="I149" s="2">
        <f>WEEKDAY(Table1[[#This Row],[Date]])</f>
        <v>6</v>
      </c>
      <c r="J149">
        <f>Table1[[#This Row],[Credit]]-Table1[[#This Row],[Debit]]</f>
        <v>-5</v>
      </c>
      <c r="K149" s="7" t="str">
        <f>TEXT(Table1[[#This Row],[Date]], "mmm")</f>
        <v>Apr</v>
      </c>
    </row>
    <row r="150" spans="1:11" hidden="1" x14ac:dyDescent="0.3">
      <c r="A150" s="1">
        <v>44289</v>
      </c>
      <c r="B150" t="s">
        <v>11</v>
      </c>
      <c r="C150">
        <v>5</v>
      </c>
      <c r="E150" t="s">
        <v>12</v>
      </c>
      <c r="F150" t="s">
        <v>13</v>
      </c>
      <c r="G150" t="s">
        <v>14</v>
      </c>
      <c r="H150">
        <f>MONTH(Table1[[#This Row],[Date]])</f>
        <v>4</v>
      </c>
      <c r="I150" s="2">
        <f>WEEKDAY(Table1[[#This Row],[Date]])</f>
        <v>7</v>
      </c>
      <c r="J150">
        <f>Table1[[#This Row],[Credit]]-Table1[[#This Row],[Debit]]</f>
        <v>-5</v>
      </c>
      <c r="K150" s="7" t="str">
        <f>TEXT(Table1[[#This Row],[Date]], "mmm")</f>
        <v>Apr</v>
      </c>
    </row>
    <row r="151" spans="1:11" hidden="1" x14ac:dyDescent="0.3">
      <c r="A151" s="1">
        <v>44290</v>
      </c>
      <c r="B151" t="s">
        <v>11</v>
      </c>
      <c r="C151">
        <v>5</v>
      </c>
      <c r="E151" t="s">
        <v>12</v>
      </c>
      <c r="F151" t="s">
        <v>13</v>
      </c>
      <c r="G151" t="s">
        <v>14</v>
      </c>
      <c r="H151">
        <f>MONTH(Table1[[#This Row],[Date]])</f>
        <v>4</v>
      </c>
      <c r="I151" s="2">
        <f>WEEKDAY(Table1[[#This Row],[Date]])</f>
        <v>1</v>
      </c>
      <c r="J151">
        <f>Table1[[#This Row],[Credit]]-Table1[[#This Row],[Debit]]</f>
        <v>-5</v>
      </c>
      <c r="K151" s="7" t="str">
        <f>TEXT(Table1[[#This Row],[Date]], "mmm")</f>
        <v>Apr</v>
      </c>
    </row>
    <row r="152" spans="1:11" hidden="1" x14ac:dyDescent="0.3">
      <c r="A152" s="1">
        <v>44291</v>
      </c>
      <c r="B152" t="s">
        <v>11</v>
      </c>
      <c r="C152">
        <v>5</v>
      </c>
      <c r="E152" t="s">
        <v>12</v>
      </c>
      <c r="F152" t="s">
        <v>13</v>
      </c>
      <c r="G152" t="s">
        <v>14</v>
      </c>
      <c r="H152">
        <f>MONTH(Table1[[#This Row],[Date]])</f>
        <v>4</v>
      </c>
      <c r="I152" s="2">
        <f>WEEKDAY(Table1[[#This Row],[Date]])</f>
        <v>2</v>
      </c>
      <c r="J152">
        <f>Table1[[#This Row],[Credit]]-Table1[[#This Row],[Debit]]</f>
        <v>-5</v>
      </c>
      <c r="K152" s="7" t="str">
        <f>TEXT(Table1[[#This Row],[Date]], "mmm")</f>
        <v>Apr</v>
      </c>
    </row>
    <row r="153" spans="1:11" hidden="1" x14ac:dyDescent="0.3">
      <c r="A153" s="1">
        <v>44291</v>
      </c>
      <c r="B153" t="s">
        <v>21</v>
      </c>
      <c r="C153">
        <v>158.19999999999999</v>
      </c>
      <c r="E153" t="s">
        <v>22</v>
      </c>
      <c r="F153" t="s">
        <v>17</v>
      </c>
      <c r="G153" t="s">
        <v>14</v>
      </c>
      <c r="H153">
        <f>MONTH(Table1[[#This Row],[Date]])</f>
        <v>4</v>
      </c>
      <c r="I153" s="2">
        <f>WEEKDAY(Table1[[#This Row],[Date]])</f>
        <v>2</v>
      </c>
      <c r="J153">
        <f>Table1[[#This Row],[Credit]]-Table1[[#This Row],[Debit]]</f>
        <v>-158.19999999999999</v>
      </c>
      <c r="K153" s="7" t="str">
        <f>TEXT(Table1[[#This Row],[Date]], "mmm")</f>
        <v>Apr</v>
      </c>
    </row>
    <row r="154" spans="1:11" hidden="1" x14ac:dyDescent="0.3">
      <c r="A154" s="1">
        <v>44294</v>
      </c>
      <c r="B154" t="s">
        <v>23</v>
      </c>
      <c r="C154">
        <v>53.2</v>
      </c>
      <c r="E154" t="s">
        <v>24</v>
      </c>
      <c r="F154" t="s">
        <v>17</v>
      </c>
      <c r="G154" t="s">
        <v>14</v>
      </c>
      <c r="H154">
        <f>MONTH(Table1[[#This Row],[Date]])</f>
        <v>4</v>
      </c>
      <c r="I154" s="2">
        <f>WEEKDAY(Table1[[#This Row],[Date]])</f>
        <v>5</v>
      </c>
      <c r="J154">
        <f>Table1[[#This Row],[Credit]]-Table1[[#This Row],[Debit]]</f>
        <v>-53.2</v>
      </c>
      <c r="K154" s="7" t="str">
        <f>TEXT(Table1[[#This Row],[Date]], "mmm")</f>
        <v>Apr</v>
      </c>
    </row>
    <row r="155" spans="1:11" hidden="1" x14ac:dyDescent="0.3">
      <c r="A155" s="1">
        <v>44294</v>
      </c>
      <c r="B155" t="s">
        <v>11</v>
      </c>
      <c r="C155">
        <v>5</v>
      </c>
      <c r="E155" t="s">
        <v>12</v>
      </c>
      <c r="F155" t="s">
        <v>13</v>
      </c>
      <c r="G155" t="s">
        <v>14</v>
      </c>
      <c r="H155">
        <f>MONTH(Table1[[#This Row],[Date]])</f>
        <v>4</v>
      </c>
      <c r="I155" s="2">
        <f>WEEKDAY(Table1[[#This Row],[Date]])</f>
        <v>5</v>
      </c>
      <c r="J155">
        <f>Table1[[#This Row],[Credit]]-Table1[[#This Row],[Debit]]</f>
        <v>-5</v>
      </c>
      <c r="K155" s="7" t="str">
        <f>TEXT(Table1[[#This Row],[Date]], "mmm")</f>
        <v>Apr</v>
      </c>
    </row>
    <row r="156" spans="1:11" hidden="1" x14ac:dyDescent="0.3">
      <c r="A156" s="1">
        <v>44295</v>
      </c>
      <c r="B156" t="s">
        <v>11</v>
      </c>
      <c r="C156">
        <v>5</v>
      </c>
      <c r="E156" t="s">
        <v>12</v>
      </c>
      <c r="F156" t="s">
        <v>13</v>
      </c>
      <c r="G156" t="s">
        <v>14</v>
      </c>
      <c r="H156">
        <f>MONTH(Table1[[#This Row],[Date]])</f>
        <v>4</v>
      </c>
      <c r="I156" s="2">
        <f>WEEKDAY(Table1[[#This Row],[Date]])</f>
        <v>6</v>
      </c>
      <c r="J156">
        <f>Table1[[#This Row],[Credit]]-Table1[[#This Row],[Debit]]</f>
        <v>-5</v>
      </c>
      <c r="K156" s="7" t="str">
        <f>TEXT(Table1[[#This Row],[Date]], "mmm")</f>
        <v>Apr</v>
      </c>
    </row>
    <row r="157" spans="1:11" hidden="1" x14ac:dyDescent="0.3">
      <c r="A157" s="1">
        <v>44296</v>
      </c>
      <c r="B157" t="s">
        <v>25</v>
      </c>
      <c r="C157">
        <v>79.900000000000006</v>
      </c>
      <c r="E157" t="s">
        <v>48</v>
      </c>
      <c r="F157" t="s">
        <v>20</v>
      </c>
      <c r="G157" t="s">
        <v>14</v>
      </c>
      <c r="H157">
        <f>MONTH(Table1[[#This Row],[Date]])</f>
        <v>4</v>
      </c>
      <c r="I157" s="2">
        <f>WEEKDAY(Table1[[#This Row],[Date]])</f>
        <v>7</v>
      </c>
      <c r="J157">
        <f>Table1[[#This Row],[Credit]]-Table1[[#This Row],[Debit]]</f>
        <v>-79.900000000000006</v>
      </c>
      <c r="K157" s="7" t="str">
        <f>TEXT(Table1[[#This Row],[Date]], "mmm")</f>
        <v>Apr</v>
      </c>
    </row>
    <row r="158" spans="1:11" hidden="1" x14ac:dyDescent="0.3">
      <c r="A158" s="1">
        <v>44296</v>
      </c>
      <c r="B158" t="s">
        <v>11</v>
      </c>
      <c r="C158">
        <v>5</v>
      </c>
      <c r="E158" t="s">
        <v>12</v>
      </c>
      <c r="F158" t="s">
        <v>13</v>
      </c>
      <c r="G158" t="s">
        <v>14</v>
      </c>
      <c r="H158">
        <f>MONTH(Table1[[#This Row],[Date]])</f>
        <v>4</v>
      </c>
      <c r="I158" s="2">
        <f>WEEKDAY(Table1[[#This Row],[Date]])</f>
        <v>7</v>
      </c>
      <c r="J158">
        <f>Table1[[#This Row],[Credit]]-Table1[[#This Row],[Debit]]</f>
        <v>-5</v>
      </c>
      <c r="K158" s="7" t="str">
        <f>TEXT(Table1[[#This Row],[Date]], "mmm")</f>
        <v>Apr</v>
      </c>
    </row>
    <row r="159" spans="1:11" hidden="1" x14ac:dyDescent="0.3">
      <c r="A159" s="1">
        <v>44297</v>
      </c>
      <c r="B159" t="s">
        <v>11</v>
      </c>
      <c r="C159">
        <v>5</v>
      </c>
      <c r="E159" t="s">
        <v>12</v>
      </c>
      <c r="F159" t="s">
        <v>13</v>
      </c>
      <c r="G159" t="s">
        <v>14</v>
      </c>
      <c r="H159">
        <f>MONTH(Table1[[#This Row],[Date]])</f>
        <v>4</v>
      </c>
      <c r="I159" s="2">
        <f>WEEKDAY(Table1[[#This Row],[Date]])</f>
        <v>1</v>
      </c>
      <c r="J159">
        <f>Table1[[#This Row],[Credit]]-Table1[[#This Row],[Debit]]</f>
        <v>-5</v>
      </c>
      <c r="K159" s="7" t="str">
        <f>TEXT(Table1[[#This Row],[Date]], "mmm")</f>
        <v>Apr</v>
      </c>
    </row>
    <row r="160" spans="1:11" hidden="1" x14ac:dyDescent="0.3">
      <c r="A160" s="1">
        <v>44298</v>
      </c>
      <c r="B160" t="s">
        <v>21</v>
      </c>
      <c r="C160">
        <v>98</v>
      </c>
      <c r="E160" t="s">
        <v>22</v>
      </c>
      <c r="F160" t="s">
        <v>17</v>
      </c>
      <c r="G160" t="s">
        <v>14</v>
      </c>
      <c r="H160">
        <f>MONTH(Table1[[#This Row],[Date]])</f>
        <v>4</v>
      </c>
      <c r="I160" s="2">
        <f>WEEKDAY(Table1[[#This Row],[Date]])</f>
        <v>2</v>
      </c>
      <c r="J160">
        <f>Table1[[#This Row],[Credit]]-Table1[[#This Row],[Debit]]</f>
        <v>-98</v>
      </c>
      <c r="K160" s="7" t="str">
        <f>TEXT(Table1[[#This Row],[Date]], "mmm")</f>
        <v>Apr</v>
      </c>
    </row>
    <row r="161" spans="1:11" hidden="1" x14ac:dyDescent="0.3">
      <c r="A161" s="1">
        <v>44298</v>
      </c>
      <c r="B161" t="s">
        <v>11</v>
      </c>
      <c r="C161">
        <v>5</v>
      </c>
      <c r="E161" t="s">
        <v>12</v>
      </c>
      <c r="F161" t="s">
        <v>13</v>
      </c>
      <c r="G161" t="s">
        <v>14</v>
      </c>
      <c r="H161">
        <f>MONTH(Table1[[#This Row],[Date]])</f>
        <v>4</v>
      </c>
      <c r="I161" s="2">
        <f>WEEKDAY(Table1[[#This Row],[Date]])</f>
        <v>2</v>
      </c>
      <c r="J161">
        <f>Table1[[#This Row],[Credit]]-Table1[[#This Row],[Debit]]</f>
        <v>-5</v>
      </c>
      <c r="K161" s="7" t="str">
        <f>TEXT(Table1[[#This Row],[Date]], "mmm")</f>
        <v>Apr</v>
      </c>
    </row>
    <row r="162" spans="1:11" hidden="1" x14ac:dyDescent="0.3">
      <c r="A162" s="1">
        <v>44299</v>
      </c>
      <c r="B162" t="s">
        <v>11</v>
      </c>
      <c r="C162">
        <v>5</v>
      </c>
      <c r="E162" t="s">
        <v>12</v>
      </c>
      <c r="F162" t="s">
        <v>13</v>
      </c>
      <c r="G162" t="s">
        <v>14</v>
      </c>
      <c r="H162">
        <f>MONTH(Table1[[#This Row],[Date]])</f>
        <v>4</v>
      </c>
      <c r="I162" s="2">
        <f>WEEKDAY(Table1[[#This Row],[Date]])</f>
        <v>3</v>
      </c>
      <c r="J162">
        <f>Table1[[#This Row],[Credit]]-Table1[[#This Row],[Debit]]</f>
        <v>-5</v>
      </c>
      <c r="K162" s="7" t="str">
        <f>TEXT(Table1[[#This Row],[Date]], "mmm")</f>
        <v>Apr</v>
      </c>
    </row>
    <row r="163" spans="1:11" hidden="1" x14ac:dyDescent="0.3">
      <c r="A163" s="1">
        <v>44299</v>
      </c>
      <c r="B163" t="s">
        <v>26</v>
      </c>
      <c r="C163">
        <v>42.8</v>
      </c>
      <c r="E163" t="s">
        <v>27</v>
      </c>
      <c r="F163" t="s">
        <v>28</v>
      </c>
      <c r="G163" t="s">
        <v>14</v>
      </c>
      <c r="H163">
        <f>MONTH(Table1[[#This Row],[Date]])</f>
        <v>4</v>
      </c>
      <c r="I163" s="2">
        <f>WEEKDAY(Table1[[#This Row],[Date]])</f>
        <v>3</v>
      </c>
      <c r="J163">
        <f>Table1[[#This Row],[Credit]]-Table1[[#This Row],[Debit]]</f>
        <v>-42.8</v>
      </c>
      <c r="K163" s="7" t="str">
        <f>TEXT(Table1[[#This Row],[Date]], "mmm")</f>
        <v>Apr</v>
      </c>
    </row>
    <row r="164" spans="1:11" hidden="1" x14ac:dyDescent="0.3">
      <c r="A164" s="1">
        <v>44299</v>
      </c>
      <c r="B164" t="s">
        <v>29</v>
      </c>
      <c r="C164">
        <v>100.9</v>
      </c>
      <c r="E164" t="s">
        <v>30</v>
      </c>
      <c r="F164" t="s">
        <v>28</v>
      </c>
      <c r="G164" t="s">
        <v>14</v>
      </c>
      <c r="H164">
        <f>MONTH(Table1[[#This Row],[Date]])</f>
        <v>4</v>
      </c>
      <c r="I164" s="2">
        <f>WEEKDAY(Table1[[#This Row],[Date]])</f>
        <v>3</v>
      </c>
      <c r="J164">
        <f>Table1[[#This Row],[Credit]]-Table1[[#This Row],[Debit]]</f>
        <v>-100.9</v>
      </c>
      <c r="K164" s="7" t="str">
        <f>TEXT(Table1[[#This Row],[Date]], "mmm")</f>
        <v>Apr</v>
      </c>
    </row>
    <row r="165" spans="1:11" hidden="1" x14ac:dyDescent="0.3">
      <c r="A165" s="1">
        <v>44299</v>
      </c>
      <c r="B165" t="s">
        <v>31</v>
      </c>
      <c r="C165">
        <v>54.9</v>
      </c>
      <c r="E165" t="s">
        <v>32</v>
      </c>
      <c r="F165" t="s">
        <v>13</v>
      </c>
      <c r="G165" t="s">
        <v>14</v>
      </c>
      <c r="H165">
        <f>MONTH(Table1[[#This Row],[Date]])</f>
        <v>4</v>
      </c>
      <c r="I165" s="2">
        <f>WEEKDAY(Table1[[#This Row],[Date]])</f>
        <v>3</v>
      </c>
      <c r="J165">
        <f>Table1[[#This Row],[Credit]]-Table1[[#This Row],[Debit]]</f>
        <v>-54.9</v>
      </c>
      <c r="K165" s="7" t="str">
        <f>TEXT(Table1[[#This Row],[Date]], "mmm")</f>
        <v>Apr</v>
      </c>
    </row>
    <row r="166" spans="1:11" hidden="1" x14ac:dyDescent="0.3">
      <c r="A166" s="1">
        <v>44300</v>
      </c>
      <c r="B166" t="s">
        <v>33</v>
      </c>
      <c r="C166">
        <v>31</v>
      </c>
      <c r="E166" t="s">
        <v>34</v>
      </c>
      <c r="F166" t="s">
        <v>20</v>
      </c>
      <c r="G166" t="s">
        <v>14</v>
      </c>
      <c r="H166">
        <f>MONTH(Table1[[#This Row],[Date]])</f>
        <v>4</v>
      </c>
      <c r="I166" s="2">
        <f>WEEKDAY(Table1[[#This Row],[Date]])</f>
        <v>4</v>
      </c>
      <c r="J166">
        <f>Table1[[#This Row],[Credit]]-Table1[[#This Row],[Debit]]</f>
        <v>-31</v>
      </c>
      <c r="K166" s="7" t="str">
        <f>TEXT(Table1[[#This Row],[Date]], "mmm")</f>
        <v>Apr</v>
      </c>
    </row>
    <row r="167" spans="1:11" hidden="1" x14ac:dyDescent="0.3">
      <c r="A167" s="1">
        <v>44301</v>
      </c>
      <c r="B167" t="s">
        <v>35</v>
      </c>
      <c r="D167">
        <v>2340</v>
      </c>
      <c r="E167" t="s">
        <v>36</v>
      </c>
      <c r="F167" t="s">
        <v>37</v>
      </c>
      <c r="G167" t="s">
        <v>10</v>
      </c>
      <c r="H167">
        <f>MONTH(Table1[[#This Row],[Date]])</f>
        <v>4</v>
      </c>
      <c r="I167" s="2">
        <f>WEEKDAY(Table1[[#This Row],[Date]])</f>
        <v>5</v>
      </c>
      <c r="J167">
        <f>Table1[[#This Row],[Credit]]-Table1[[#This Row],[Debit]]</f>
        <v>2340</v>
      </c>
      <c r="K167" s="7" t="str">
        <f>TEXT(Table1[[#This Row],[Date]], "mmm")</f>
        <v>Apr</v>
      </c>
    </row>
    <row r="168" spans="1:11" hidden="1" x14ac:dyDescent="0.3">
      <c r="A168" s="1">
        <v>44301</v>
      </c>
      <c r="B168" t="s">
        <v>11</v>
      </c>
      <c r="C168">
        <v>5</v>
      </c>
      <c r="E168" t="s">
        <v>12</v>
      </c>
      <c r="F168" t="s">
        <v>13</v>
      </c>
      <c r="G168" t="s">
        <v>14</v>
      </c>
      <c r="H168">
        <f>MONTH(Table1[[#This Row],[Date]])</f>
        <v>4</v>
      </c>
      <c r="I168" s="2">
        <f>WEEKDAY(Table1[[#This Row],[Date]])</f>
        <v>5</v>
      </c>
      <c r="J168">
        <f>Table1[[#This Row],[Credit]]-Table1[[#This Row],[Debit]]</f>
        <v>-5</v>
      </c>
      <c r="K168" s="7" t="str">
        <f>TEXT(Table1[[#This Row],[Date]], "mmm")</f>
        <v>Apr</v>
      </c>
    </row>
    <row r="169" spans="1:11" hidden="1" x14ac:dyDescent="0.3">
      <c r="A169" s="1">
        <v>44302</v>
      </c>
      <c r="B169" t="s">
        <v>11</v>
      </c>
      <c r="C169">
        <v>5</v>
      </c>
      <c r="E169" t="s">
        <v>12</v>
      </c>
      <c r="F169" t="s">
        <v>13</v>
      </c>
      <c r="G169" t="s">
        <v>14</v>
      </c>
      <c r="H169">
        <f>MONTH(Table1[[#This Row],[Date]])</f>
        <v>4</v>
      </c>
      <c r="I169" s="2">
        <f>WEEKDAY(Table1[[#This Row],[Date]])</f>
        <v>6</v>
      </c>
      <c r="J169">
        <f>Table1[[#This Row],[Credit]]-Table1[[#This Row],[Debit]]</f>
        <v>-5</v>
      </c>
      <c r="K169" s="7" t="str">
        <f>TEXT(Table1[[#This Row],[Date]], "mmm")</f>
        <v>Apr</v>
      </c>
    </row>
    <row r="170" spans="1:11" hidden="1" x14ac:dyDescent="0.3">
      <c r="A170" s="1">
        <v>44302</v>
      </c>
      <c r="B170" t="s">
        <v>39</v>
      </c>
      <c r="C170">
        <v>40</v>
      </c>
      <c r="E170" t="s">
        <v>39</v>
      </c>
      <c r="F170" t="s">
        <v>17</v>
      </c>
      <c r="G170" t="s">
        <v>14</v>
      </c>
      <c r="H170">
        <f>MONTH(Table1[[#This Row],[Date]])</f>
        <v>4</v>
      </c>
      <c r="I170" s="2">
        <f>WEEKDAY(Table1[[#This Row],[Date]])</f>
        <v>6</v>
      </c>
      <c r="J170">
        <f>Table1[[#This Row],[Credit]]-Table1[[#This Row],[Debit]]</f>
        <v>-40</v>
      </c>
      <c r="K170" s="7" t="str">
        <f>TEXT(Table1[[#This Row],[Date]], "mmm")</f>
        <v>Apr</v>
      </c>
    </row>
    <row r="171" spans="1:11" hidden="1" x14ac:dyDescent="0.3">
      <c r="A171" s="1">
        <v>44303</v>
      </c>
      <c r="B171" t="s">
        <v>40</v>
      </c>
      <c r="C171">
        <v>47.9</v>
      </c>
      <c r="E171" t="s">
        <v>41</v>
      </c>
      <c r="F171" t="s">
        <v>28</v>
      </c>
      <c r="G171" t="s">
        <v>14</v>
      </c>
      <c r="H171">
        <f>MONTH(Table1[[#This Row],[Date]])</f>
        <v>4</v>
      </c>
      <c r="I171" s="2">
        <f>WEEKDAY(Table1[[#This Row],[Date]])</f>
        <v>7</v>
      </c>
      <c r="J171">
        <f>Table1[[#This Row],[Credit]]-Table1[[#This Row],[Debit]]</f>
        <v>-47.9</v>
      </c>
      <c r="K171" s="7" t="str">
        <f>TEXT(Table1[[#This Row],[Date]], "mmm")</f>
        <v>Apr</v>
      </c>
    </row>
    <row r="172" spans="1:11" hidden="1" x14ac:dyDescent="0.3">
      <c r="A172" s="1">
        <v>44303</v>
      </c>
      <c r="B172" t="s">
        <v>42</v>
      </c>
      <c r="C172">
        <v>35</v>
      </c>
      <c r="E172" t="s">
        <v>27</v>
      </c>
      <c r="F172" t="s">
        <v>28</v>
      </c>
      <c r="G172" t="s">
        <v>14</v>
      </c>
      <c r="H172">
        <f>MONTH(Table1[[#This Row],[Date]])</f>
        <v>4</v>
      </c>
      <c r="I172" s="2">
        <f>WEEKDAY(Table1[[#This Row],[Date]])</f>
        <v>7</v>
      </c>
      <c r="J172">
        <f>Table1[[#This Row],[Credit]]-Table1[[#This Row],[Debit]]</f>
        <v>-35</v>
      </c>
      <c r="K172" s="7" t="str">
        <f>TEXT(Table1[[#This Row],[Date]], "mmm")</f>
        <v>Apr</v>
      </c>
    </row>
    <row r="173" spans="1:11" hidden="1" x14ac:dyDescent="0.3">
      <c r="A173" s="1">
        <v>44303</v>
      </c>
      <c r="B173" t="s">
        <v>11</v>
      </c>
      <c r="C173">
        <v>5</v>
      </c>
      <c r="E173" t="s">
        <v>12</v>
      </c>
      <c r="F173" t="s">
        <v>13</v>
      </c>
      <c r="G173" t="s">
        <v>14</v>
      </c>
      <c r="H173">
        <f>MONTH(Table1[[#This Row],[Date]])</f>
        <v>4</v>
      </c>
      <c r="I173" s="2">
        <f>WEEKDAY(Table1[[#This Row],[Date]])</f>
        <v>7</v>
      </c>
      <c r="J173">
        <f>Table1[[#This Row],[Credit]]-Table1[[#This Row],[Debit]]</f>
        <v>-5</v>
      </c>
      <c r="K173" s="7" t="str">
        <f>TEXT(Table1[[#This Row],[Date]], "mmm")</f>
        <v>Apr</v>
      </c>
    </row>
    <row r="174" spans="1:11" hidden="1" x14ac:dyDescent="0.3">
      <c r="A174" s="1">
        <v>44304</v>
      </c>
      <c r="B174" t="s">
        <v>11</v>
      </c>
      <c r="C174">
        <v>5</v>
      </c>
      <c r="E174" t="s">
        <v>12</v>
      </c>
      <c r="F174" t="s">
        <v>13</v>
      </c>
      <c r="G174" t="s">
        <v>14</v>
      </c>
      <c r="H174">
        <f>MONTH(Table1[[#This Row],[Date]])</f>
        <v>4</v>
      </c>
      <c r="I174" s="2">
        <f>WEEKDAY(Table1[[#This Row],[Date]])</f>
        <v>1</v>
      </c>
      <c r="J174">
        <f>Table1[[#This Row],[Credit]]-Table1[[#This Row],[Debit]]</f>
        <v>-5</v>
      </c>
      <c r="K174" s="7" t="str">
        <f>TEXT(Table1[[#This Row],[Date]], "mmm")</f>
        <v>Apr</v>
      </c>
    </row>
    <row r="175" spans="1:11" hidden="1" x14ac:dyDescent="0.3">
      <c r="A175" s="1">
        <v>44305</v>
      </c>
      <c r="B175" t="s">
        <v>11</v>
      </c>
      <c r="C175">
        <v>5</v>
      </c>
      <c r="E175" t="s">
        <v>12</v>
      </c>
      <c r="F175" t="s">
        <v>13</v>
      </c>
      <c r="G175" t="s">
        <v>14</v>
      </c>
      <c r="H175">
        <f>MONTH(Table1[[#This Row],[Date]])</f>
        <v>4</v>
      </c>
      <c r="I175" s="2">
        <f>WEEKDAY(Table1[[#This Row],[Date]])</f>
        <v>2</v>
      </c>
      <c r="J175">
        <f>Table1[[#This Row],[Credit]]-Table1[[#This Row],[Debit]]</f>
        <v>-5</v>
      </c>
      <c r="K175" s="7" t="str">
        <f>TEXT(Table1[[#This Row],[Date]], "mmm")</f>
        <v>Apr</v>
      </c>
    </row>
    <row r="176" spans="1:11" hidden="1" x14ac:dyDescent="0.3">
      <c r="A176" s="1">
        <v>44305</v>
      </c>
      <c r="B176" t="s">
        <v>21</v>
      </c>
      <c r="C176">
        <v>173</v>
      </c>
      <c r="E176" t="s">
        <v>22</v>
      </c>
      <c r="F176" t="s">
        <v>17</v>
      </c>
      <c r="G176" t="s">
        <v>14</v>
      </c>
      <c r="H176">
        <f>MONTH(Table1[[#This Row],[Date]])</f>
        <v>4</v>
      </c>
      <c r="I176" s="2">
        <f>WEEKDAY(Table1[[#This Row],[Date]])</f>
        <v>2</v>
      </c>
      <c r="J176">
        <f>Table1[[#This Row],[Credit]]-Table1[[#This Row],[Debit]]</f>
        <v>-173</v>
      </c>
      <c r="K176" s="7" t="str">
        <f>TEXT(Table1[[#This Row],[Date]], "mmm")</f>
        <v>Apr</v>
      </c>
    </row>
    <row r="177" spans="1:11" hidden="1" x14ac:dyDescent="0.3">
      <c r="A177" s="1">
        <v>44306</v>
      </c>
      <c r="B177" t="s">
        <v>43</v>
      </c>
      <c r="C177">
        <v>40.1</v>
      </c>
      <c r="E177" t="s">
        <v>32</v>
      </c>
      <c r="F177" t="s">
        <v>13</v>
      </c>
      <c r="G177" t="s">
        <v>14</v>
      </c>
      <c r="H177">
        <f>MONTH(Table1[[#This Row],[Date]])</f>
        <v>4</v>
      </c>
      <c r="I177" s="2">
        <f>WEEKDAY(Table1[[#This Row],[Date]])</f>
        <v>3</v>
      </c>
      <c r="J177">
        <f>Table1[[#This Row],[Credit]]-Table1[[#This Row],[Debit]]</f>
        <v>-40.1</v>
      </c>
      <c r="K177" s="7" t="str">
        <f>TEXT(Table1[[#This Row],[Date]], "mmm")</f>
        <v>Apr</v>
      </c>
    </row>
    <row r="178" spans="1:11" hidden="1" x14ac:dyDescent="0.3">
      <c r="A178" s="1">
        <v>44307</v>
      </c>
      <c r="B178" t="s">
        <v>44</v>
      </c>
      <c r="C178">
        <v>15.1</v>
      </c>
      <c r="E178" t="s">
        <v>32</v>
      </c>
      <c r="F178" t="s">
        <v>13</v>
      </c>
      <c r="G178" t="s">
        <v>14</v>
      </c>
      <c r="H178">
        <f>MONTH(Table1[[#This Row],[Date]])</f>
        <v>4</v>
      </c>
      <c r="I178" s="2">
        <f>WEEKDAY(Table1[[#This Row],[Date]])</f>
        <v>4</v>
      </c>
      <c r="J178">
        <f>Table1[[#This Row],[Credit]]-Table1[[#This Row],[Debit]]</f>
        <v>-15.1</v>
      </c>
      <c r="K178" s="7" t="str">
        <f>TEXT(Table1[[#This Row],[Date]], "mmm")</f>
        <v>Apr</v>
      </c>
    </row>
    <row r="179" spans="1:11" hidden="1" x14ac:dyDescent="0.3">
      <c r="A179" s="1">
        <v>44308</v>
      </c>
      <c r="B179" t="s">
        <v>45</v>
      </c>
      <c r="C179">
        <v>55</v>
      </c>
      <c r="E179" t="s">
        <v>46</v>
      </c>
      <c r="F179" t="s">
        <v>47</v>
      </c>
      <c r="G179" t="s">
        <v>14</v>
      </c>
      <c r="H179">
        <f>MONTH(Table1[[#This Row],[Date]])</f>
        <v>4</v>
      </c>
      <c r="I179" s="2">
        <f>WEEKDAY(Table1[[#This Row],[Date]])</f>
        <v>5</v>
      </c>
      <c r="J179">
        <f>Table1[[#This Row],[Credit]]-Table1[[#This Row],[Debit]]</f>
        <v>-55</v>
      </c>
      <c r="K179" s="7" t="str">
        <f>TEXT(Table1[[#This Row],[Date]], "mmm")</f>
        <v>Apr</v>
      </c>
    </row>
    <row r="180" spans="1:11" hidden="1" x14ac:dyDescent="0.3">
      <c r="A180" s="1">
        <v>44308</v>
      </c>
      <c r="B180" t="s">
        <v>25</v>
      </c>
      <c r="C180">
        <v>66</v>
      </c>
      <c r="E180" t="s">
        <v>48</v>
      </c>
      <c r="F180" t="s">
        <v>20</v>
      </c>
      <c r="G180" t="s">
        <v>14</v>
      </c>
      <c r="H180">
        <f>MONTH(Table1[[#This Row],[Date]])</f>
        <v>4</v>
      </c>
      <c r="I180" s="2">
        <f>WEEKDAY(Table1[[#This Row],[Date]])</f>
        <v>5</v>
      </c>
      <c r="J180">
        <f>Table1[[#This Row],[Credit]]-Table1[[#This Row],[Debit]]</f>
        <v>-66</v>
      </c>
      <c r="K180" s="7" t="str">
        <f>TEXT(Table1[[#This Row],[Date]], "mmm")</f>
        <v>Apr</v>
      </c>
    </row>
    <row r="181" spans="1:11" hidden="1" x14ac:dyDescent="0.3">
      <c r="A181" s="1">
        <v>44308</v>
      </c>
      <c r="B181" t="s">
        <v>11</v>
      </c>
      <c r="C181">
        <v>5</v>
      </c>
      <c r="E181" t="s">
        <v>12</v>
      </c>
      <c r="F181" t="s">
        <v>13</v>
      </c>
      <c r="G181" t="s">
        <v>14</v>
      </c>
      <c r="H181">
        <f>MONTH(Table1[[#This Row],[Date]])</f>
        <v>4</v>
      </c>
      <c r="I181" s="2">
        <f>WEEKDAY(Table1[[#This Row],[Date]])</f>
        <v>5</v>
      </c>
      <c r="J181">
        <f>Table1[[#This Row],[Credit]]-Table1[[#This Row],[Debit]]</f>
        <v>-5</v>
      </c>
      <c r="K181" s="7" t="str">
        <f>TEXT(Table1[[#This Row],[Date]], "mmm")</f>
        <v>Apr</v>
      </c>
    </row>
    <row r="182" spans="1:11" hidden="1" x14ac:dyDescent="0.3">
      <c r="A182" s="1">
        <v>44309</v>
      </c>
      <c r="B182" t="s">
        <v>11</v>
      </c>
      <c r="C182">
        <v>5</v>
      </c>
      <c r="E182" t="s">
        <v>12</v>
      </c>
      <c r="F182" t="s">
        <v>13</v>
      </c>
      <c r="G182" t="s">
        <v>14</v>
      </c>
      <c r="H182">
        <f>MONTH(Table1[[#This Row],[Date]])</f>
        <v>4</v>
      </c>
      <c r="I182" s="2">
        <f>WEEKDAY(Table1[[#This Row],[Date]])</f>
        <v>6</v>
      </c>
      <c r="J182">
        <f>Table1[[#This Row],[Credit]]-Table1[[#This Row],[Debit]]</f>
        <v>-5</v>
      </c>
      <c r="K182" s="7" t="str">
        <f>TEXT(Table1[[#This Row],[Date]], "mmm")</f>
        <v>Apr</v>
      </c>
    </row>
    <row r="183" spans="1:11" hidden="1" x14ac:dyDescent="0.3">
      <c r="A183" s="1">
        <v>44310</v>
      </c>
      <c r="B183" t="s">
        <v>11</v>
      </c>
      <c r="C183">
        <v>5</v>
      </c>
      <c r="E183" t="s">
        <v>12</v>
      </c>
      <c r="F183" t="s">
        <v>13</v>
      </c>
      <c r="G183" t="s">
        <v>14</v>
      </c>
      <c r="H183">
        <f>MONTH(Table1[[#This Row],[Date]])</f>
        <v>4</v>
      </c>
      <c r="I183" s="2">
        <f>WEEKDAY(Table1[[#This Row],[Date]])</f>
        <v>7</v>
      </c>
      <c r="J183">
        <f>Table1[[#This Row],[Credit]]-Table1[[#This Row],[Debit]]</f>
        <v>-5</v>
      </c>
      <c r="K183" s="7" t="str">
        <f>TEXT(Table1[[#This Row],[Date]], "mmm")</f>
        <v>Apr</v>
      </c>
    </row>
    <row r="184" spans="1:11" hidden="1" x14ac:dyDescent="0.3">
      <c r="A184" s="1">
        <v>44311</v>
      </c>
      <c r="B184" t="s">
        <v>11</v>
      </c>
      <c r="C184">
        <v>5</v>
      </c>
      <c r="E184" t="s">
        <v>12</v>
      </c>
      <c r="F184" t="s">
        <v>13</v>
      </c>
      <c r="G184" t="s">
        <v>14</v>
      </c>
      <c r="H184">
        <f>MONTH(Table1[[#This Row],[Date]])</f>
        <v>4</v>
      </c>
      <c r="I184" s="2">
        <f>WEEKDAY(Table1[[#This Row],[Date]])</f>
        <v>1</v>
      </c>
      <c r="J184">
        <f>Table1[[#This Row],[Credit]]-Table1[[#This Row],[Debit]]</f>
        <v>-5</v>
      </c>
      <c r="K184" s="7" t="str">
        <f>TEXT(Table1[[#This Row],[Date]], "mmm")</f>
        <v>Apr</v>
      </c>
    </row>
    <row r="185" spans="1:11" hidden="1" x14ac:dyDescent="0.3">
      <c r="A185" s="1">
        <v>44312</v>
      </c>
      <c r="B185" t="s">
        <v>11</v>
      </c>
      <c r="C185">
        <v>5</v>
      </c>
      <c r="E185" t="s">
        <v>12</v>
      </c>
      <c r="F185" t="s">
        <v>13</v>
      </c>
      <c r="G185" t="s">
        <v>14</v>
      </c>
      <c r="H185">
        <f>MONTH(Table1[[#This Row],[Date]])</f>
        <v>4</v>
      </c>
      <c r="I185" s="2">
        <f>WEEKDAY(Table1[[#This Row],[Date]])</f>
        <v>2</v>
      </c>
      <c r="J185">
        <f>Table1[[#This Row],[Credit]]-Table1[[#This Row],[Debit]]</f>
        <v>-5</v>
      </c>
      <c r="K185" s="7" t="str">
        <f>TEXT(Table1[[#This Row],[Date]], "mmm")</f>
        <v>Apr</v>
      </c>
    </row>
    <row r="186" spans="1:11" hidden="1" x14ac:dyDescent="0.3">
      <c r="A186" s="1">
        <v>44312</v>
      </c>
      <c r="B186" t="s">
        <v>21</v>
      </c>
      <c r="C186">
        <v>164.9</v>
      </c>
      <c r="E186" t="s">
        <v>22</v>
      </c>
      <c r="F186" t="s">
        <v>17</v>
      </c>
      <c r="G186" t="s">
        <v>14</v>
      </c>
      <c r="H186">
        <f>MONTH(Table1[[#This Row],[Date]])</f>
        <v>4</v>
      </c>
      <c r="I186" s="2">
        <f>WEEKDAY(Table1[[#This Row],[Date]])</f>
        <v>2</v>
      </c>
      <c r="J186">
        <f>Table1[[#This Row],[Credit]]-Table1[[#This Row],[Debit]]</f>
        <v>-164.9</v>
      </c>
      <c r="K186" s="7" t="str">
        <f>TEXT(Table1[[#This Row],[Date]], "mmm")</f>
        <v>Apr</v>
      </c>
    </row>
    <row r="187" spans="1:11" hidden="1" x14ac:dyDescent="0.3">
      <c r="A187" s="1">
        <v>44313</v>
      </c>
      <c r="B187" t="s">
        <v>49</v>
      </c>
      <c r="C187">
        <v>127.9</v>
      </c>
      <c r="E187" t="s">
        <v>30</v>
      </c>
      <c r="F187" t="s">
        <v>28</v>
      </c>
      <c r="G187" t="s">
        <v>14</v>
      </c>
      <c r="H187">
        <f>MONTH(Table1[[#This Row],[Date]])</f>
        <v>4</v>
      </c>
      <c r="I187" s="2">
        <f>WEEKDAY(Table1[[#This Row],[Date]])</f>
        <v>3</v>
      </c>
      <c r="J187">
        <f>Table1[[#This Row],[Credit]]-Table1[[#This Row],[Debit]]</f>
        <v>-127.9</v>
      </c>
      <c r="K187" s="7" t="str">
        <f>TEXT(Table1[[#This Row],[Date]], "mmm")</f>
        <v>Apr</v>
      </c>
    </row>
    <row r="188" spans="1:11" hidden="1" x14ac:dyDescent="0.3">
      <c r="A188" s="1">
        <v>44313</v>
      </c>
      <c r="B188" t="s">
        <v>57</v>
      </c>
      <c r="C188">
        <v>300</v>
      </c>
      <c r="E188" t="s">
        <v>27</v>
      </c>
      <c r="F188" t="s">
        <v>28</v>
      </c>
      <c r="G188" t="s">
        <v>14</v>
      </c>
      <c r="H188">
        <f>MONTH(Table1[[#This Row],[Date]])</f>
        <v>4</v>
      </c>
      <c r="I188" s="2">
        <f>WEEKDAY(Table1[[#This Row],[Date]])</f>
        <v>3</v>
      </c>
      <c r="J188">
        <f>Table1[[#This Row],[Credit]]-Table1[[#This Row],[Debit]]</f>
        <v>-300</v>
      </c>
      <c r="K188" s="7" t="str">
        <f>TEXT(Table1[[#This Row],[Date]], "mmm")</f>
        <v>Apr</v>
      </c>
    </row>
    <row r="189" spans="1:11" hidden="1" x14ac:dyDescent="0.3">
      <c r="A189" s="1">
        <v>44314</v>
      </c>
      <c r="B189" t="s">
        <v>29</v>
      </c>
      <c r="C189">
        <v>148.1</v>
      </c>
      <c r="E189" t="s">
        <v>30</v>
      </c>
      <c r="F189" t="s">
        <v>28</v>
      </c>
      <c r="G189" t="s">
        <v>14</v>
      </c>
      <c r="H189">
        <f>MONTH(Table1[[#This Row],[Date]])</f>
        <v>4</v>
      </c>
      <c r="I189" s="2">
        <f>WEEKDAY(Table1[[#This Row],[Date]])</f>
        <v>4</v>
      </c>
      <c r="J189">
        <f>Table1[[#This Row],[Credit]]-Table1[[#This Row],[Debit]]</f>
        <v>-148.1</v>
      </c>
      <c r="K189" s="7" t="str">
        <f>TEXT(Table1[[#This Row],[Date]], "mmm")</f>
        <v>Apr</v>
      </c>
    </row>
    <row r="190" spans="1:11" hidden="1" x14ac:dyDescent="0.3">
      <c r="A190" s="1">
        <v>44314</v>
      </c>
      <c r="B190" t="s">
        <v>33</v>
      </c>
      <c r="C190">
        <v>26.1</v>
      </c>
      <c r="E190" t="s">
        <v>34</v>
      </c>
      <c r="F190" t="s">
        <v>20</v>
      </c>
      <c r="G190" t="s">
        <v>14</v>
      </c>
      <c r="H190">
        <f>MONTH(Table1[[#This Row],[Date]])</f>
        <v>4</v>
      </c>
      <c r="I190" s="2">
        <f>WEEKDAY(Table1[[#This Row],[Date]])</f>
        <v>4</v>
      </c>
      <c r="J190">
        <f>Table1[[#This Row],[Credit]]-Table1[[#This Row],[Debit]]</f>
        <v>-26.1</v>
      </c>
      <c r="K190" s="7" t="str">
        <f>TEXT(Table1[[#This Row],[Date]], "mmm")</f>
        <v>Apr</v>
      </c>
    </row>
    <row r="191" spans="1:11" hidden="1" x14ac:dyDescent="0.3">
      <c r="A191" s="1">
        <v>44315</v>
      </c>
      <c r="B191" t="s">
        <v>56</v>
      </c>
      <c r="C191">
        <v>15</v>
      </c>
      <c r="E191" t="s">
        <v>32</v>
      </c>
      <c r="F191" t="s">
        <v>13</v>
      </c>
      <c r="G191" t="s">
        <v>14</v>
      </c>
      <c r="H191">
        <f>MONTH(Table1[[#This Row],[Date]])</f>
        <v>4</v>
      </c>
      <c r="I191" s="2">
        <f>WEEKDAY(Table1[[#This Row],[Date]])</f>
        <v>5</v>
      </c>
      <c r="J191">
        <f>Table1[[#This Row],[Credit]]-Table1[[#This Row],[Debit]]</f>
        <v>-15</v>
      </c>
      <c r="K191" s="7" t="str">
        <f>TEXT(Table1[[#This Row],[Date]], "mmm")</f>
        <v>Apr</v>
      </c>
    </row>
    <row r="192" spans="1:11" hidden="1" x14ac:dyDescent="0.3">
      <c r="A192" s="1">
        <v>44315</v>
      </c>
      <c r="B192" t="s">
        <v>11</v>
      </c>
      <c r="C192">
        <v>5</v>
      </c>
      <c r="E192" t="s">
        <v>12</v>
      </c>
      <c r="F192" t="s">
        <v>13</v>
      </c>
      <c r="G192" t="s">
        <v>14</v>
      </c>
      <c r="H192">
        <f>MONTH(Table1[[#This Row],[Date]])</f>
        <v>4</v>
      </c>
      <c r="I192" s="2">
        <f>WEEKDAY(Table1[[#This Row],[Date]])</f>
        <v>5</v>
      </c>
      <c r="J192">
        <f>Table1[[#This Row],[Credit]]-Table1[[#This Row],[Debit]]</f>
        <v>-5</v>
      </c>
      <c r="K192" s="7" t="str">
        <f>TEXT(Table1[[#This Row],[Date]], "mmm")</f>
        <v>Apr</v>
      </c>
    </row>
    <row r="193" spans="1:11" hidden="1" x14ac:dyDescent="0.3">
      <c r="A193" s="1">
        <v>44316</v>
      </c>
      <c r="B193" t="s">
        <v>11</v>
      </c>
      <c r="C193">
        <v>5</v>
      </c>
      <c r="E193" t="s">
        <v>12</v>
      </c>
      <c r="F193" t="s">
        <v>13</v>
      </c>
      <c r="G193" t="s">
        <v>14</v>
      </c>
      <c r="H193">
        <f>MONTH(Table1[[#This Row],[Date]])</f>
        <v>4</v>
      </c>
      <c r="I193" s="2">
        <f>WEEKDAY(Table1[[#This Row],[Date]])</f>
        <v>6</v>
      </c>
      <c r="J193">
        <f>Table1[[#This Row],[Credit]]-Table1[[#This Row],[Debit]]</f>
        <v>-5</v>
      </c>
      <c r="K193" s="7" t="str">
        <f>TEXT(Table1[[#This Row],[Date]], "mmm")</f>
        <v>Apr</v>
      </c>
    </row>
    <row r="194" spans="1:11" hidden="1" x14ac:dyDescent="0.3">
      <c r="A194" s="1">
        <v>44318</v>
      </c>
      <c r="B194" t="s">
        <v>11</v>
      </c>
      <c r="C194">
        <v>5</v>
      </c>
      <c r="E194" t="s">
        <v>12</v>
      </c>
      <c r="F194" t="s">
        <v>13</v>
      </c>
      <c r="G194" t="s">
        <v>14</v>
      </c>
      <c r="H194">
        <f>MONTH(Table1[[#This Row],[Date]])</f>
        <v>5</v>
      </c>
      <c r="I194" s="2">
        <f>WEEKDAY(Table1[[#This Row],[Date]])</f>
        <v>1</v>
      </c>
      <c r="J194">
        <f>Table1[[#This Row],[Credit]]-Table1[[#This Row],[Debit]]</f>
        <v>-5</v>
      </c>
      <c r="K194" s="7" t="str">
        <f>TEXT(Table1[[#This Row],[Date]], "mmm")</f>
        <v>May</v>
      </c>
    </row>
    <row r="195" spans="1:11" hidden="1" x14ac:dyDescent="0.3">
      <c r="A195" s="1">
        <v>44319</v>
      </c>
      <c r="B195" t="s">
        <v>7</v>
      </c>
      <c r="D195">
        <v>5000</v>
      </c>
      <c r="E195" t="s">
        <v>8</v>
      </c>
      <c r="F195" t="s">
        <v>9</v>
      </c>
      <c r="G195" t="s">
        <v>10</v>
      </c>
      <c r="H195">
        <f>MONTH(Table1[[#This Row],[Date]])</f>
        <v>5</v>
      </c>
      <c r="I195" s="2">
        <f>WEEKDAY(Table1[[#This Row],[Date]])</f>
        <v>2</v>
      </c>
      <c r="J195">
        <f>Table1[[#This Row],[Credit]]-Table1[[#This Row],[Debit]]</f>
        <v>5000</v>
      </c>
      <c r="K195" s="7" t="str">
        <f>TEXT(Table1[[#This Row],[Date]], "mmm")</f>
        <v>May</v>
      </c>
    </row>
    <row r="196" spans="1:11" hidden="1" x14ac:dyDescent="0.3">
      <c r="A196" s="1">
        <v>44319</v>
      </c>
      <c r="B196" t="s">
        <v>15</v>
      </c>
      <c r="C196">
        <v>900</v>
      </c>
      <c r="E196" t="s">
        <v>16</v>
      </c>
      <c r="F196" t="s">
        <v>17</v>
      </c>
      <c r="G196" t="s">
        <v>14</v>
      </c>
      <c r="H196">
        <f>MONTH(Table1[[#This Row],[Date]])</f>
        <v>5</v>
      </c>
      <c r="I196" s="2">
        <f>WEEKDAY(Table1[[#This Row],[Date]])</f>
        <v>2</v>
      </c>
      <c r="J196">
        <f>Table1[[#This Row],[Credit]]-Table1[[#This Row],[Debit]]</f>
        <v>-900</v>
      </c>
      <c r="K196" s="7" t="str">
        <f>TEXT(Table1[[#This Row],[Date]], "mmm")</f>
        <v>May</v>
      </c>
    </row>
    <row r="197" spans="1:11" hidden="1" x14ac:dyDescent="0.3">
      <c r="A197" s="1">
        <v>44319</v>
      </c>
      <c r="B197" t="s">
        <v>18</v>
      </c>
      <c r="C197">
        <v>150</v>
      </c>
      <c r="E197" t="s">
        <v>19</v>
      </c>
      <c r="F197" t="s">
        <v>20</v>
      </c>
      <c r="G197" t="s">
        <v>14</v>
      </c>
      <c r="H197">
        <f>MONTH(Table1[[#This Row],[Date]])</f>
        <v>5</v>
      </c>
      <c r="I197" s="2">
        <f>WEEKDAY(Table1[[#This Row],[Date]])</f>
        <v>2</v>
      </c>
      <c r="J197">
        <f>Table1[[#This Row],[Credit]]-Table1[[#This Row],[Debit]]</f>
        <v>-150</v>
      </c>
      <c r="K197" s="7" t="str">
        <f>TEXT(Table1[[#This Row],[Date]], "mmm")</f>
        <v>May</v>
      </c>
    </row>
    <row r="198" spans="1:11" hidden="1" x14ac:dyDescent="0.3">
      <c r="A198" s="1">
        <v>44319</v>
      </c>
      <c r="B198" t="s">
        <v>11</v>
      </c>
      <c r="C198">
        <v>5</v>
      </c>
      <c r="E198" t="s">
        <v>12</v>
      </c>
      <c r="F198" t="s">
        <v>13</v>
      </c>
      <c r="G198" t="s">
        <v>14</v>
      </c>
      <c r="H198">
        <f>MONTH(Table1[[#This Row],[Date]])</f>
        <v>5</v>
      </c>
      <c r="I198" s="2">
        <f>WEEKDAY(Table1[[#This Row],[Date]])</f>
        <v>2</v>
      </c>
      <c r="J198">
        <f>Table1[[#This Row],[Credit]]-Table1[[#This Row],[Debit]]</f>
        <v>-5</v>
      </c>
      <c r="K198" s="7" t="str">
        <f>TEXT(Table1[[#This Row],[Date]], "mmm")</f>
        <v>May</v>
      </c>
    </row>
    <row r="199" spans="1:11" hidden="1" x14ac:dyDescent="0.3">
      <c r="A199" s="1">
        <v>44320</v>
      </c>
      <c r="B199" t="s">
        <v>11</v>
      </c>
      <c r="C199">
        <v>5</v>
      </c>
      <c r="E199" t="s">
        <v>12</v>
      </c>
      <c r="F199" t="s">
        <v>13</v>
      </c>
      <c r="G199" t="s">
        <v>14</v>
      </c>
      <c r="H199">
        <f>MONTH(Table1[[#This Row],[Date]])</f>
        <v>5</v>
      </c>
      <c r="I199" s="2">
        <f>WEEKDAY(Table1[[#This Row],[Date]])</f>
        <v>3</v>
      </c>
      <c r="J199">
        <f>Table1[[#This Row],[Credit]]-Table1[[#This Row],[Debit]]</f>
        <v>-5</v>
      </c>
      <c r="K199" s="7" t="str">
        <f>TEXT(Table1[[#This Row],[Date]], "mmm")</f>
        <v>May</v>
      </c>
    </row>
    <row r="200" spans="1:11" hidden="1" x14ac:dyDescent="0.3">
      <c r="A200" s="1">
        <v>44321</v>
      </c>
      <c r="B200" t="s">
        <v>11</v>
      </c>
      <c r="C200">
        <v>5</v>
      </c>
      <c r="E200" t="s">
        <v>12</v>
      </c>
      <c r="F200" t="s">
        <v>13</v>
      </c>
      <c r="G200" t="s">
        <v>14</v>
      </c>
      <c r="H200">
        <f>MONTH(Table1[[#This Row],[Date]])</f>
        <v>5</v>
      </c>
      <c r="I200" s="2">
        <f>WEEKDAY(Table1[[#This Row],[Date]])</f>
        <v>4</v>
      </c>
      <c r="J200">
        <f>Table1[[#This Row],[Credit]]-Table1[[#This Row],[Debit]]</f>
        <v>-5</v>
      </c>
      <c r="K200" s="7" t="str">
        <f>TEXT(Table1[[#This Row],[Date]], "mmm")</f>
        <v>May</v>
      </c>
    </row>
    <row r="201" spans="1:11" hidden="1" x14ac:dyDescent="0.3">
      <c r="A201" s="1">
        <v>44322</v>
      </c>
      <c r="B201" t="s">
        <v>11</v>
      </c>
      <c r="C201">
        <v>5</v>
      </c>
      <c r="E201" t="s">
        <v>12</v>
      </c>
      <c r="F201" t="s">
        <v>13</v>
      </c>
      <c r="G201" t="s">
        <v>14</v>
      </c>
      <c r="H201">
        <f>MONTH(Table1[[#This Row],[Date]])</f>
        <v>5</v>
      </c>
      <c r="I201" s="2">
        <f>WEEKDAY(Table1[[#This Row],[Date]])</f>
        <v>5</v>
      </c>
      <c r="J201">
        <f>Table1[[#This Row],[Credit]]-Table1[[#This Row],[Debit]]</f>
        <v>-5</v>
      </c>
      <c r="K201" s="7" t="str">
        <f>TEXT(Table1[[#This Row],[Date]], "mmm")</f>
        <v>May</v>
      </c>
    </row>
    <row r="202" spans="1:11" hidden="1" x14ac:dyDescent="0.3">
      <c r="A202" s="1">
        <v>44322</v>
      </c>
      <c r="B202" t="s">
        <v>21</v>
      </c>
      <c r="C202">
        <v>170</v>
      </c>
      <c r="E202" t="s">
        <v>22</v>
      </c>
      <c r="F202" t="s">
        <v>17</v>
      </c>
      <c r="G202" t="s">
        <v>14</v>
      </c>
      <c r="H202">
        <f>MONTH(Table1[[#This Row],[Date]])</f>
        <v>5</v>
      </c>
      <c r="I202" s="2">
        <f>WEEKDAY(Table1[[#This Row],[Date]])</f>
        <v>5</v>
      </c>
      <c r="J202">
        <f>Table1[[#This Row],[Credit]]-Table1[[#This Row],[Debit]]</f>
        <v>-170</v>
      </c>
      <c r="K202" s="7" t="str">
        <f>TEXT(Table1[[#This Row],[Date]], "mmm")</f>
        <v>May</v>
      </c>
    </row>
    <row r="203" spans="1:11" hidden="1" x14ac:dyDescent="0.3">
      <c r="A203" s="1">
        <v>44325</v>
      </c>
      <c r="B203" t="s">
        <v>23</v>
      </c>
      <c r="C203">
        <v>54.1</v>
      </c>
      <c r="E203" t="s">
        <v>24</v>
      </c>
      <c r="F203" t="s">
        <v>17</v>
      </c>
      <c r="G203" t="s">
        <v>14</v>
      </c>
      <c r="H203">
        <f>MONTH(Table1[[#This Row],[Date]])</f>
        <v>5</v>
      </c>
      <c r="I203" s="2">
        <f>WEEKDAY(Table1[[#This Row],[Date]])</f>
        <v>1</v>
      </c>
      <c r="J203">
        <f>Table1[[#This Row],[Credit]]-Table1[[#This Row],[Debit]]</f>
        <v>-54.1</v>
      </c>
      <c r="K203" s="7" t="str">
        <f>TEXT(Table1[[#This Row],[Date]], "mmm")</f>
        <v>May</v>
      </c>
    </row>
    <row r="204" spans="1:11" hidden="1" x14ac:dyDescent="0.3">
      <c r="A204" s="1">
        <v>44325</v>
      </c>
      <c r="B204" t="s">
        <v>11</v>
      </c>
      <c r="C204">
        <v>5</v>
      </c>
      <c r="E204" t="s">
        <v>12</v>
      </c>
      <c r="F204" t="s">
        <v>13</v>
      </c>
      <c r="G204" t="s">
        <v>14</v>
      </c>
      <c r="H204">
        <f>MONTH(Table1[[#This Row],[Date]])</f>
        <v>5</v>
      </c>
      <c r="I204" s="2">
        <f>WEEKDAY(Table1[[#This Row],[Date]])</f>
        <v>1</v>
      </c>
      <c r="J204">
        <f>Table1[[#This Row],[Credit]]-Table1[[#This Row],[Debit]]</f>
        <v>-5</v>
      </c>
      <c r="K204" s="7" t="str">
        <f>TEXT(Table1[[#This Row],[Date]], "mmm")</f>
        <v>May</v>
      </c>
    </row>
    <row r="205" spans="1:11" hidden="1" x14ac:dyDescent="0.3">
      <c r="A205" s="1">
        <v>44326</v>
      </c>
      <c r="B205" t="s">
        <v>11</v>
      </c>
      <c r="C205">
        <v>5</v>
      </c>
      <c r="E205" t="s">
        <v>12</v>
      </c>
      <c r="F205" t="s">
        <v>13</v>
      </c>
      <c r="G205" t="s">
        <v>14</v>
      </c>
      <c r="H205">
        <f>MONTH(Table1[[#This Row],[Date]])</f>
        <v>5</v>
      </c>
      <c r="I205" s="2">
        <f>WEEKDAY(Table1[[#This Row],[Date]])</f>
        <v>2</v>
      </c>
      <c r="J205">
        <f>Table1[[#This Row],[Credit]]-Table1[[#This Row],[Debit]]</f>
        <v>-5</v>
      </c>
      <c r="K205" s="7" t="str">
        <f>TEXT(Table1[[#This Row],[Date]], "mmm")</f>
        <v>May</v>
      </c>
    </row>
    <row r="206" spans="1:11" hidden="1" x14ac:dyDescent="0.3">
      <c r="A206" s="1">
        <v>44327</v>
      </c>
      <c r="B206" t="s">
        <v>25</v>
      </c>
      <c r="C206">
        <v>81</v>
      </c>
      <c r="E206" t="s">
        <v>48</v>
      </c>
      <c r="F206" t="s">
        <v>20</v>
      </c>
      <c r="G206" t="s">
        <v>14</v>
      </c>
      <c r="H206">
        <f>MONTH(Table1[[#This Row],[Date]])</f>
        <v>5</v>
      </c>
      <c r="I206" s="2">
        <f>WEEKDAY(Table1[[#This Row],[Date]])</f>
        <v>3</v>
      </c>
      <c r="J206">
        <f>Table1[[#This Row],[Credit]]-Table1[[#This Row],[Debit]]</f>
        <v>-81</v>
      </c>
      <c r="K206" s="7" t="str">
        <f>TEXT(Table1[[#This Row],[Date]], "mmm")</f>
        <v>May</v>
      </c>
    </row>
    <row r="207" spans="1:11" hidden="1" x14ac:dyDescent="0.3">
      <c r="A207" s="1">
        <v>44327</v>
      </c>
      <c r="B207" t="s">
        <v>11</v>
      </c>
      <c r="C207">
        <v>5</v>
      </c>
      <c r="E207" t="s">
        <v>12</v>
      </c>
      <c r="F207" t="s">
        <v>13</v>
      </c>
      <c r="G207" t="s">
        <v>14</v>
      </c>
      <c r="H207">
        <f>MONTH(Table1[[#This Row],[Date]])</f>
        <v>5</v>
      </c>
      <c r="I207" s="2">
        <f>WEEKDAY(Table1[[#This Row],[Date]])</f>
        <v>3</v>
      </c>
      <c r="J207">
        <f>Table1[[#This Row],[Credit]]-Table1[[#This Row],[Debit]]</f>
        <v>-5</v>
      </c>
      <c r="K207" s="7" t="str">
        <f>TEXT(Table1[[#This Row],[Date]], "mmm")</f>
        <v>May</v>
      </c>
    </row>
    <row r="208" spans="1:11" hidden="1" x14ac:dyDescent="0.3">
      <c r="A208" s="1">
        <v>44328</v>
      </c>
      <c r="B208" t="s">
        <v>11</v>
      </c>
      <c r="C208">
        <v>5</v>
      </c>
      <c r="E208" t="s">
        <v>12</v>
      </c>
      <c r="F208" t="s">
        <v>13</v>
      </c>
      <c r="G208" t="s">
        <v>14</v>
      </c>
      <c r="H208">
        <f>MONTH(Table1[[#This Row],[Date]])</f>
        <v>5</v>
      </c>
      <c r="I208" s="2">
        <f>WEEKDAY(Table1[[#This Row],[Date]])</f>
        <v>4</v>
      </c>
      <c r="J208">
        <f>Table1[[#This Row],[Credit]]-Table1[[#This Row],[Debit]]</f>
        <v>-5</v>
      </c>
      <c r="K208" s="7" t="str">
        <f>TEXT(Table1[[#This Row],[Date]], "mmm")</f>
        <v>May</v>
      </c>
    </row>
    <row r="209" spans="1:11" hidden="1" x14ac:dyDescent="0.3">
      <c r="A209" s="1">
        <v>44329</v>
      </c>
      <c r="B209" t="s">
        <v>21</v>
      </c>
      <c r="C209">
        <v>139.1</v>
      </c>
      <c r="E209" t="s">
        <v>22</v>
      </c>
      <c r="F209" t="s">
        <v>17</v>
      </c>
      <c r="G209" t="s">
        <v>14</v>
      </c>
      <c r="H209">
        <f>MONTH(Table1[[#This Row],[Date]])</f>
        <v>5</v>
      </c>
      <c r="I209" s="2">
        <f>WEEKDAY(Table1[[#This Row],[Date]])</f>
        <v>5</v>
      </c>
      <c r="J209">
        <f>Table1[[#This Row],[Credit]]-Table1[[#This Row],[Debit]]</f>
        <v>-139.1</v>
      </c>
      <c r="K209" s="7" t="str">
        <f>TEXT(Table1[[#This Row],[Date]], "mmm")</f>
        <v>May</v>
      </c>
    </row>
    <row r="210" spans="1:11" hidden="1" x14ac:dyDescent="0.3">
      <c r="A210" s="1">
        <v>44329</v>
      </c>
      <c r="B210" t="s">
        <v>11</v>
      </c>
      <c r="C210">
        <v>5</v>
      </c>
      <c r="E210" t="s">
        <v>12</v>
      </c>
      <c r="F210" t="s">
        <v>13</v>
      </c>
      <c r="G210" t="s">
        <v>14</v>
      </c>
      <c r="H210">
        <f>MONTH(Table1[[#This Row],[Date]])</f>
        <v>5</v>
      </c>
      <c r="I210" s="2">
        <f>WEEKDAY(Table1[[#This Row],[Date]])</f>
        <v>5</v>
      </c>
      <c r="J210">
        <f>Table1[[#This Row],[Credit]]-Table1[[#This Row],[Debit]]</f>
        <v>-5</v>
      </c>
      <c r="K210" s="7" t="str">
        <f>TEXT(Table1[[#This Row],[Date]], "mmm")</f>
        <v>May</v>
      </c>
    </row>
    <row r="211" spans="1:11" hidden="1" x14ac:dyDescent="0.3">
      <c r="A211" s="1">
        <v>44330</v>
      </c>
      <c r="B211" t="s">
        <v>11</v>
      </c>
      <c r="C211">
        <v>5</v>
      </c>
      <c r="E211" t="s">
        <v>12</v>
      </c>
      <c r="F211" t="s">
        <v>13</v>
      </c>
      <c r="G211" t="s">
        <v>14</v>
      </c>
      <c r="H211">
        <f>MONTH(Table1[[#This Row],[Date]])</f>
        <v>5</v>
      </c>
      <c r="I211" s="2">
        <f>WEEKDAY(Table1[[#This Row],[Date]])</f>
        <v>6</v>
      </c>
      <c r="J211">
        <f>Table1[[#This Row],[Credit]]-Table1[[#This Row],[Debit]]</f>
        <v>-5</v>
      </c>
      <c r="K211" s="7" t="str">
        <f>TEXT(Table1[[#This Row],[Date]], "mmm")</f>
        <v>May</v>
      </c>
    </row>
    <row r="212" spans="1:11" hidden="1" x14ac:dyDescent="0.3">
      <c r="A212" s="1">
        <v>44330</v>
      </c>
      <c r="B212" t="s">
        <v>26</v>
      </c>
      <c r="C212">
        <v>43.9</v>
      </c>
      <c r="E212" t="s">
        <v>27</v>
      </c>
      <c r="F212" t="s">
        <v>28</v>
      </c>
      <c r="G212" t="s">
        <v>14</v>
      </c>
      <c r="H212">
        <f>MONTH(Table1[[#This Row],[Date]])</f>
        <v>5</v>
      </c>
      <c r="I212" s="2">
        <f>WEEKDAY(Table1[[#This Row],[Date]])</f>
        <v>6</v>
      </c>
      <c r="J212">
        <f>Table1[[#This Row],[Credit]]-Table1[[#This Row],[Debit]]</f>
        <v>-43.9</v>
      </c>
      <c r="K212" s="7" t="str">
        <f>TEXT(Table1[[#This Row],[Date]], "mmm")</f>
        <v>May</v>
      </c>
    </row>
    <row r="213" spans="1:11" hidden="1" x14ac:dyDescent="0.3">
      <c r="A213" s="1">
        <v>44330</v>
      </c>
      <c r="B213" t="s">
        <v>29</v>
      </c>
      <c r="C213">
        <v>101.80000000000001</v>
      </c>
      <c r="E213" t="s">
        <v>30</v>
      </c>
      <c r="F213" t="s">
        <v>28</v>
      </c>
      <c r="G213" t="s">
        <v>14</v>
      </c>
      <c r="H213">
        <f>MONTH(Table1[[#This Row],[Date]])</f>
        <v>5</v>
      </c>
      <c r="I213" s="2">
        <f>WEEKDAY(Table1[[#This Row],[Date]])</f>
        <v>6</v>
      </c>
      <c r="J213">
        <f>Table1[[#This Row],[Credit]]-Table1[[#This Row],[Debit]]</f>
        <v>-101.80000000000001</v>
      </c>
      <c r="K213" s="7" t="str">
        <f>TEXT(Table1[[#This Row],[Date]], "mmm")</f>
        <v>May</v>
      </c>
    </row>
    <row r="214" spans="1:11" hidden="1" x14ac:dyDescent="0.3">
      <c r="A214" s="1">
        <v>44330</v>
      </c>
      <c r="B214" t="s">
        <v>31</v>
      </c>
      <c r="C214">
        <v>55.9</v>
      </c>
      <c r="E214" t="s">
        <v>32</v>
      </c>
      <c r="F214" t="s">
        <v>13</v>
      </c>
      <c r="G214" t="s">
        <v>14</v>
      </c>
      <c r="H214">
        <f>MONTH(Table1[[#This Row],[Date]])</f>
        <v>5</v>
      </c>
      <c r="I214" s="2">
        <f>WEEKDAY(Table1[[#This Row],[Date]])</f>
        <v>6</v>
      </c>
      <c r="J214">
        <f>Table1[[#This Row],[Credit]]-Table1[[#This Row],[Debit]]</f>
        <v>-55.9</v>
      </c>
      <c r="K214" s="7" t="str">
        <f>TEXT(Table1[[#This Row],[Date]], "mmm")</f>
        <v>May</v>
      </c>
    </row>
    <row r="215" spans="1:11" hidden="1" x14ac:dyDescent="0.3">
      <c r="A215" s="1">
        <v>44331</v>
      </c>
      <c r="B215" t="s">
        <v>33</v>
      </c>
      <c r="C215">
        <v>32</v>
      </c>
      <c r="E215" t="s">
        <v>34</v>
      </c>
      <c r="F215" t="s">
        <v>20</v>
      </c>
      <c r="G215" t="s">
        <v>14</v>
      </c>
      <c r="H215">
        <f>MONTH(Table1[[#This Row],[Date]])</f>
        <v>5</v>
      </c>
      <c r="I215" s="2">
        <f>WEEKDAY(Table1[[#This Row],[Date]])</f>
        <v>7</v>
      </c>
      <c r="J215">
        <f>Table1[[#This Row],[Credit]]-Table1[[#This Row],[Debit]]</f>
        <v>-32</v>
      </c>
      <c r="K215" s="7" t="str">
        <f>TEXT(Table1[[#This Row],[Date]], "mmm")</f>
        <v>May</v>
      </c>
    </row>
    <row r="216" spans="1:11" hidden="1" x14ac:dyDescent="0.3">
      <c r="A216" s="1">
        <v>44332</v>
      </c>
      <c r="B216" t="s">
        <v>35</v>
      </c>
      <c r="D216">
        <v>1000</v>
      </c>
      <c r="E216" t="s">
        <v>36</v>
      </c>
      <c r="F216" t="s">
        <v>37</v>
      </c>
      <c r="G216" t="s">
        <v>10</v>
      </c>
      <c r="H216">
        <f>MONTH(Table1[[#This Row],[Date]])</f>
        <v>5</v>
      </c>
      <c r="I216" s="2">
        <f>WEEKDAY(Table1[[#This Row],[Date]])</f>
        <v>1</v>
      </c>
      <c r="J216">
        <f>Table1[[#This Row],[Credit]]-Table1[[#This Row],[Debit]]</f>
        <v>1000</v>
      </c>
      <c r="K216" s="7" t="str">
        <f>TEXT(Table1[[#This Row],[Date]], "mmm")</f>
        <v>May</v>
      </c>
    </row>
    <row r="217" spans="1:11" hidden="1" x14ac:dyDescent="0.3">
      <c r="A217" s="1">
        <v>44332</v>
      </c>
      <c r="B217" t="s">
        <v>11</v>
      </c>
      <c r="C217">
        <v>5</v>
      </c>
      <c r="E217" t="s">
        <v>12</v>
      </c>
      <c r="F217" t="s">
        <v>13</v>
      </c>
      <c r="G217" t="s">
        <v>14</v>
      </c>
      <c r="H217">
        <f>MONTH(Table1[[#This Row],[Date]])</f>
        <v>5</v>
      </c>
      <c r="I217" s="2">
        <f>WEEKDAY(Table1[[#This Row],[Date]])</f>
        <v>1</v>
      </c>
      <c r="J217">
        <f>Table1[[#This Row],[Credit]]-Table1[[#This Row],[Debit]]</f>
        <v>-5</v>
      </c>
      <c r="K217" s="7" t="str">
        <f>TEXT(Table1[[#This Row],[Date]], "mmm")</f>
        <v>May</v>
      </c>
    </row>
    <row r="218" spans="1:11" hidden="1" x14ac:dyDescent="0.3">
      <c r="A218" s="1">
        <v>44333</v>
      </c>
      <c r="B218" t="s">
        <v>11</v>
      </c>
      <c r="C218">
        <v>5</v>
      </c>
      <c r="E218" t="s">
        <v>12</v>
      </c>
      <c r="F218" t="s">
        <v>13</v>
      </c>
      <c r="G218" t="s">
        <v>14</v>
      </c>
      <c r="H218">
        <f>MONTH(Table1[[#This Row],[Date]])</f>
        <v>5</v>
      </c>
      <c r="I218" s="2">
        <f>WEEKDAY(Table1[[#This Row],[Date]])</f>
        <v>2</v>
      </c>
      <c r="J218">
        <f>Table1[[#This Row],[Credit]]-Table1[[#This Row],[Debit]]</f>
        <v>-5</v>
      </c>
      <c r="K218" s="7" t="str">
        <f>TEXT(Table1[[#This Row],[Date]], "mmm")</f>
        <v>May</v>
      </c>
    </row>
    <row r="219" spans="1:11" hidden="1" x14ac:dyDescent="0.3">
      <c r="A219" s="1">
        <v>44333</v>
      </c>
      <c r="B219" t="s">
        <v>52</v>
      </c>
      <c r="C219">
        <v>75</v>
      </c>
      <c r="E219" t="s">
        <v>53</v>
      </c>
      <c r="F219" t="s">
        <v>54</v>
      </c>
      <c r="G219" t="s">
        <v>14</v>
      </c>
      <c r="H219">
        <f>MONTH(Table1[[#This Row],[Date]])</f>
        <v>5</v>
      </c>
      <c r="I219" s="2">
        <f>WEEKDAY(Table1[[#This Row],[Date]])</f>
        <v>2</v>
      </c>
      <c r="J219">
        <f>Table1[[#This Row],[Credit]]-Table1[[#This Row],[Debit]]</f>
        <v>-75</v>
      </c>
      <c r="K219" s="7" t="str">
        <f>TEXT(Table1[[#This Row],[Date]], "mmm")</f>
        <v>May</v>
      </c>
    </row>
    <row r="220" spans="1:11" hidden="1" x14ac:dyDescent="0.3">
      <c r="A220" s="1">
        <v>44333</v>
      </c>
      <c r="B220" t="s">
        <v>39</v>
      </c>
      <c r="C220">
        <v>40</v>
      </c>
      <c r="E220" t="s">
        <v>39</v>
      </c>
      <c r="F220" t="s">
        <v>17</v>
      </c>
      <c r="G220" t="s">
        <v>14</v>
      </c>
      <c r="H220">
        <f>MONTH(Table1[[#This Row],[Date]])</f>
        <v>5</v>
      </c>
      <c r="I220" s="2">
        <f>WEEKDAY(Table1[[#This Row],[Date]])</f>
        <v>2</v>
      </c>
      <c r="J220">
        <f>Table1[[#This Row],[Credit]]-Table1[[#This Row],[Debit]]</f>
        <v>-40</v>
      </c>
      <c r="K220" s="7" t="str">
        <f>TEXT(Table1[[#This Row],[Date]], "mmm")</f>
        <v>May</v>
      </c>
    </row>
    <row r="221" spans="1:11" hidden="1" x14ac:dyDescent="0.3">
      <c r="A221" s="1">
        <v>44334</v>
      </c>
      <c r="B221" t="s">
        <v>40</v>
      </c>
      <c r="C221">
        <v>49</v>
      </c>
      <c r="E221" t="s">
        <v>41</v>
      </c>
      <c r="F221" t="s">
        <v>28</v>
      </c>
      <c r="G221" t="s">
        <v>14</v>
      </c>
      <c r="H221">
        <f>MONTH(Table1[[#This Row],[Date]])</f>
        <v>5</v>
      </c>
      <c r="I221" s="2">
        <f>WEEKDAY(Table1[[#This Row],[Date]])</f>
        <v>3</v>
      </c>
      <c r="J221">
        <f>Table1[[#This Row],[Credit]]-Table1[[#This Row],[Debit]]</f>
        <v>-49</v>
      </c>
      <c r="K221" s="7" t="str">
        <f>TEXT(Table1[[#This Row],[Date]], "mmm")</f>
        <v>May</v>
      </c>
    </row>
    <row r="222" spans="1:11" hidden="1" x14ac:dyDescent="0.3">
      <c r="A222" s="1">
        <v>44334</v>
      </c>
      <c r="B222" t="s">
        <v>42</v>
      </c>
      <c r="C222">
        <v>35</v>
      </c>
      <c r="E222" t="s">
        <v>27</v>
      </c>
      <c r="F222" t="s">
        <v>28</v>
      </c>
      <c r="G222" t="s">
        <v>14</v>
      </c>
      <c r="H222">
        <f>MONTH(Table1[[#This Row],[Date]])</f>
        <v>5</v>
      </c>
      <c r="I222" s="2">
        <f>WEEKDAY(Table1[[#This Row],[Date]])</f>
        <v>3</v>
      </c>
      <c r="J222">
        <f>Table1[[#This Row],[Credit]]-Table1[[#This Row],[Debit]]</f>
        <v>-35</v>
      </c>
      <c r="K222" s="7" t="str">
        <f>TEXT(Table1[[#This Row],[Date]], "mmm")</f>
        <v>May</v>
      </c>
    </row>
    <row r="223" spans="1:11" hidden="1" x14ac:dyDescent="0.3">
      <c r="A223" s="1">
        <v>44334</v>
      </c>
      <c r="B223" t="s">
        <v>11</v>
      </c>
      <c r="C223">
        <v>5</v>
      </c>
      <c r="E223" t="s">
        <v>12</v>
      </c>
      <c r="F223" t="s">
        <v>13</v>
      </c>
      <c r="G223" t="s">
        <v>14</v>
      </c>
      <c r="H223">
        <f>MONTH(Table1[[#This Row],[Date]])</f>
        <v>5</v>
      </c>
      <c r="I223" s="2">
        <f>WEEKDAY(Table1[[#This Row],[Date]])</f>
        <v>3</v>
      </c>
      <c r="J223">
        <f>Table1[[#This Row],[Credit]]-Table1[[#This Row],[Debit]]</f>
        <v>-5</v>
      </c>
      <c r="K223" s="7" t="str">
        <f>TEXT(Table1[[#This Row],[Date]], "mmm")</f>
        <v>May</v>
      </c>
    </row>
    <row r="224" spans="1:11" hidden="1" x14ac:dyDescent="0.3">
      <c r="A224" s="1">
        <v>44335</v>
      </c>
      <c r="B224" t="s">
        <v>11</v>
      </c>
      <c r="C224">
        <v>5</v>
      </c>
      <c r="E224" t="s">
        <v>12</v>
      </c>
      <c r="F224" t="s">
        <v>13</v>
      </c>
      <c r="G224" t="s">
        <v>14</v>
      </c>
      <c r="H224">
        <f>MONTH(Table1[[#This Row],[Date]])</f>
        <v>5</v>
      </c>
      <c r="I224" s="2">
        <f>WEEKDAY(Table1[[#This Row],[Date]])</f>
        <v>4</v>
      </c>
      <c r="J224">
        <f>Table1[[#This Row],[Credit]]-Table1[[#This Row],[Debit]]</f>
        <v>-5</v>
      </c>
      <c r="K224" s="7" t="str">
        <f>TEXT(Table1[[#This Row],[Date]], "mmm")</f>
        <v>May</v>
      </c>
    </row>
    <row r="225" spans="1:11" hidden="1" x14ac:dyDescent="0.3">
      <c r="A225" s="1">
        <v>44336</v>
      </c>
      <c r="B225" t="s">
        <v>11</v>
      </c>
      <c r="C225">
        <v>5</v>
      </c>
      <c r="E225" t="s">
        <v>12</v>
      </c>
      <c r="F225" t="s">
        <v>13</v>
      </c>
      <c r="G225" t="s">
        <v>14</v>
      </c>
      <c r="H225">
        <f>MONTH(Table1[[#This Row],[Date]])</f>
        <v>5</v>
      </c>
      <c r="I225" s="2">
        <f>WEEKDAY(Table1[[#This Row],[Date]])</f>
        <v>5</v>
      </c>
      <c r="J225">
        <f>Table1[[#This Row],[Credit]]-Table1[[#This Row],[Debit]]</f>
        <v>-5</v>
      </c>
      <c r="K225" s="7" t="str">
        <f>TEXT(Table1[[#This Row],[Date]], "mmm")</f>
        <v>May</v>
      </c>
    </row>
    <row r="226" spans="1:11" hidden="1" x14ac:dyDescent="0.3">
      <c r="A226" s="1">
        <v>44336</v>
      </c>
      <c r="B226" t="s">
        <v>21</v>
      </c>
      <c r="C226">
        <v>174</v>
      </c>
      <c r="E226" t="s">
        <v>22</v>
      </c>
      <c r="F226" t="s">
        <v>17</v>
      </c>
      <c r="G226" t="s">
        <v>14</v>
      </c>
      <c r="H226">
        <f>MONTH(Table1[[#This Row],[Date]])</f>
        <v>5</v>
      </c>
      <c r="I226" s="2">
        <f>WEEKDAY(Table1[[#This Row],[Date]])</f>
        <v>5</v>
      </c>
      <c r="J226">
        <f>Table1[[#This Row],[Credit]]-Table1[[#This Row],[Debit]]</f>
        <v>-174</v>
      </c>
      <c r="K226" s="7" t="str">
        <f>TEXT(Table1[[#This Row],[Date]], "mmm")</f>
        <v>May</v>
      </c>
    </row>
    <row r="227" spans="1:11" hidden="1" x14ac:dyDescent="0.3">
      <c r="A227" s="1">
        <v>44337</v>
      </c>
      <c r="B227" t="s">
        <v>43</v>
      </c>
      <c r="C227">
        <v>41.1</v>
      </c>
      <c r="E227" t="s">
        <v>32</v>
      </c>
      <c r="F227" t="s">
        <v>13</v>
      </c>
      <c r="G227" t="s">
        <v>14</v>
      </c>
      <c r="H227">
        <f>MONTH(Table1[[#This Row],[Date]])</f>
        <v>5</v>
      </c>
      <c r="I227" s="2">
        <f>WEEKDAY(Table1[[#This Row],[Date]])</f>
        <v>6</v>
      </c>
      <c r="J227">
        <f>Table1[[#This Row],[Credit]]-Table1[[#This Row],[Debit]]</f>
        <v>-41.1</v>
      </c>
      <c r="K227" s="7" t="str">
        <f>TEXT(Table1[[#This Row],[Date]], "mmm")</f>
        <v>May</v>
      </c>
    </row>
    <row r="228" spans="1:11" hidden="1" x14ac:dyDescent="0.3">
      <c r="A228" s="1">
        <v>44338</v>
      </c>
      <c r="B228" t="s">
        <v>44</v>
      </c>
      <c r="C228">
        <v>16.2</v>
      </c>
      <c r="E228" t="s">
        <v>32</v>
      </c>
      <c r="F228" t="s">
        <v>13</v>
      </c>
      <c r="G228" t="s">
        <v>14</v>
      </c>
      <c r="H228">
        <f>MONTH(Table1[[#This Row],[Date]])</f>
        <v>5</v>
      </c>
      <c r="I228" s="2">
        <f>WEEKDAY(Table1[[#This Row],[Date]])</f>
        <v>7</v>
      </c>
      <c r="J228">
        <f>Table1[[#This Row],[Credit]]-Table1[[#This Row],[Debit]]</f>
        <v>-16.2</v>
      </c>
      <c r="K228" s="7" t="str">
        <f>TEXT(Table1[[#This Row],[Date]], "mmm")</f>
        <v>May</v>
      </c>
    </row>
    <row r="229" spans="1:11" hidden="1" x14ac:dyDescent="0.3">
      <c r="A229" s="1">
        <v>44339</v>
      </c>
      <c r="B229" t="s">
        <v>45</v>
      </c>
      <c r="C229">
        <v>55</v>
      </c>
      <c r="E229" t="s">
        <v>46</v>
      </c>
      <c r="F229" t="s">
        <v>47</v>
      </c>
      <c r="G229" t="s">
        <v>14</v>
      </c>
      <c r="H229">
        <f>MONTH(Table1[[#This Row],[Date]])</f>
        <v>5</v>
      </c>
      <c r="I229" s="2">
        <f>WEEKDAY(Table1[[#This Row],[Date]])</f>
        <v>1</v>
      </c>
      <c r="J229">
        <f>Table1[[#This Row],[Credit]]-Table1[[#This Row],[Debit]]</f>
        <v>-55</v>
      </c>
      <c r="K229" s="7" t="str">
        <f>TEXT(Table1[[#This Row],[Date]], "mmm")</f>
        <v>May</v>
      </c>
    </row>
    <row r="230" spans="1:11" hidden="1" x14ac:dyDescent="0.3">
      <c r="A230" s="1">
        <v>44339</v>
      </c>
      <c r="B230" t="s">
        <v>25</v>
      </c>
      <c r="C230">
        <v>67</v>
      </c>
      <c r="E230" t="s">
        <v>48</v>
      </c>
      <c r="F230" t="s">
        <v>20</v>
      </c>
      <c r="G230" t="s">
        <v>14</v>
      </c>
      <c r="H230">
        <f>MONTH(Table1[[#This Row],[Date]])</f>
        <v>5</v>
      </c>
      <c r="I230" s="2">
        <f>WEEKDAY(Table1[[#This Row],[Date]])</f>
        <v>1</v>
      </c>
      <c r="J230">
        <f>Table1[[#This Row],[Credit]]-Table1[[#This Row],[Debit]]</f>
        <v>-67</v>
      </c>
      <c r="K230" s="7" t="str">
        <f>TEXT(Table1[[#This Row],[Date]], "mmm")</f>
        <v>May</v>
      </c>
    </row>
    <row r="231" spans="1:11" hidden="1" x14ac:dyDescent="0.3">
      <c r="A231" s="1">
        <v>44339</v>
      </c>
      <c r="B231" t="s">
        <v>11</v>
      </c>
      <c r="C231">
        <v>5</v>
      </c>
      <c r="E231" t="s">
        <v>12</v>
      </c>
      <c r="F231" t="s">
        <v>13</v>
      </c>
      <c r="G231" t="s">
        <v>14</v>
      </c>
      <c r="H231">
        <f>MONTH(Table1[[#This Row],[Date]])</f>
        <v>5</v>
      </c>
      <c r="I231" s="2">
        <f>WEEKDAY(Table1[[#This Row],[Date]])</f>
        <v>1</v>
      </c>
      <c r="J231">
        <f>Table1[[#This Row],[Credit]]-Table1[[#This Row],[Debit]]</f>
        <v>-5</v>
      </c>
      <c r="K231" s="7" t="str">
        <f>TEXT(Table1[[#This Row],[Date]], "mmm")</f>
        <v>May</v>
      </c>
    </row>
    <row r="232" spans="1:11" hidden="1" x14ac:dyDescent="0.3">
      <c r="A232" s="1">
        <v>44340</v>
      </c>
      <c r="B232" t="s">
        <v>11</v>
      </c>
      <c r="C232">
        <v>5</v>
      </c>
      <c r="E232" t="s">
        <v>12</v>
      </c>
      <c r="F232" t="s">
        <v>13</v>
      </c>
      <c r="G232" t="s">
        <v>14</v>
      </c>
      <c r="H232">
        <f>MONTH(Table1[[#This Row],[Date]])</f>
        <v>5</v>
      </c>
      <c r="I232" s="2">
        <f>WEEKDAY(Table1[[#This Row],[Date]])</f>
        <v>2</v>
      </c>
      <c r="J232">
        <f>Table1[[#This Row],[Credit]]-Table1[[#This Row],[Debit]]</f>
        <v>-5</v>
      </c>
      <c r="K232" s="7" t="str">
        <f>TEXT(Table1[[#This Row],[Date]], "mmm")</f>
        <v>May</v>
      </c>
    </row>
    <row r="233" spans="1:11" hidden="1" x14ac:dyDescent="0.3">
      <c r="A233" s="1">
        <v>44341</v>
      </c>
      <c r="B233" t="s">
        <v>11</v>
      </c>
      <c r="C233">
        <v>5</v>
      </c>
      <c r="E233" t="s">
        <v>12</v>
      </c>
      <c r="F233" t="s">
        <v>13</v>
      </c>
      <c r="G233" t="s">
        <v>14</v>
      </c>
      <c r="H233">
        <f>MONTH(Table1[[#This Row],[Date]])</f>
        <v>5</v>
      </c>
      <c r="I233" s="2">
        <f>WEEKDAY(Table1[[#This Row],[Date]])</f>
        <v>3</v>
      </c>
      <c r="J233">
        <f>Table1[[#This Row],[Credit]]-Table1[[#This Row],[Debit]]</f>
        <v>-5</v>
      </c>
      <c r="K233" s="7" t="str">
        <f>TEXT(Table1[[#This Row],[Date]], "mmm")</f>
        <v>May</v>
      </c>
    </row>
    <row r="234" spans="1:11" hidden="1" x14ac:dyDescent="0.3">
      <c r="A234" s="1">
        <v>44342</v>
      </c>
      <c r="B234" t="s">
        <v>11</v>
      </c>
      <c r="C234">
        <v>5</v>
      </c>
      <c r="E234" t="s">
        <v>12</v>
      </c>
      <c r="F234" t="s">
        <v>13</v>
      </c>
      <c r="G234" t="s">
        <v>14</v>
      </c>
      <c r="H234">
        <f>MONTH(Table1[[#This Row],[Date]])</f>
        <v>5</v>
      </c>
      <c r="I234" s="2">
        <f>WEEKDAY(Table1[[#This Row],[Date]])</f>
        <v>4</v>
      </c>
      <c r="J234">
        <f>Table1[[#This Row],[Credit]]-Table1[[#This Row],[Debit]]</f>
        <v>-5</v>
      </c>
      <c r="K234" s="7" t="str">
        <f>TEXT(Table1[[#This Row],[Date]], "mmm")</f>
        <v>May</v>
      </c>
    </row>
    <row r="235" spans="1:11" hidden="1" x14ac:dyDescent="0.3">
      <c r="A235" s="1">
        <v>44343</v>
      </c>
      <c r="B235" t="s">
        <v>11</v>
      </c>
      <c r="C235">
        <v>5</v>
      </c>
      <c r="E235" t="s">
        <v>12</v>
      </c>
      <c r="F235" t="s">
        <v>13</v>
      </c>
      <c r="G235" t="s">
        <v>14</v>
      </c>
      <c r="H235">
        <f>MONTH(Table1[[#This Row],[Date]])</f>
        <v>5</v>
      </c>
      <c r="I235" s="2">
        <f>WEEKDAY(Table1[[#This Row],[Date]])</f>
        <v>5</v>
      </c>
      <c r="J235">
        <f>Table1[[#This Row],[Credit]]-Table1[[#This Row],[Debit]]</f>
        <v>-5</v>
      </c>
      <c r="K235" s="7" t="str">
        <f>TEXT(Table1[[#This Row],[Date]], "mmm")</f>
        <v>May</v>
      </c>
    </row>
    <row r="236" spans="1:11" hidden="1" x14ac:dyDescent="0.3">
      <c r="A236" s="1">
        <v>44343</v>
      </c>
      <c r="B236" t="s">
        <v>21</v>
      </c>
      <c r="C236">
        <v>165.8</v>
      </c>
      <c r="E236" t="s">
        <v>22</v>
      </c>
      <c r="F236" t="s">
        <v>17</v>
      </c>
      <c r="G236" t="s">
        <v>14</v>
      </c>
      <c r="H236">
        <f>MONTH(Table1[[#This Row],[Date]])</f>
        <v>5</v>
      </c>
      <c r="I236" s="2">
        <f>WEEKDAY(Table1[[#This Row],[Date]])</f>
        <v>5</v>
      </c>
      <c r="J236">
        <f>Table1[[#This Row],[Credit]]-Table1[[#This Row],[Debit]]</f>
        <v>-165.8</v>
      </c>
      <c r="K236" s="7" t="str">
        <f>TEXT(Table1[[#This Row],[Date]], "mmm")</f>
        <v>May</v>
      </c>
    </row>
    <row r="237" spans="1:11" hidden="1" x14ac:dyDescent="0.3">
      <c r="A237" s="1">
        <v>44344</v>
      </c>
      <c r="B237" t="s">
        <v>49</v>
      </c>
      <c r="C237">
        <v>128.80000000000001</v>
      </c>
      <c r="E237" t="s">
        <v>30</v>
      </c>
      <c r="F237" t="s">
        <v>28</v>
      </c>
      <c r="G237" t="s">
        <v>14</v>
      </c>
      <c r="H237">
        <f>MONTH(Table1[[#This Row],[Date]])</f>
        <v>5</v>
      </c>
      <c r="I237" s="2">
        <f>WEEKDAY(Table1[[#This Row],[Date]])</f>
        <v>6</v>
      </c>
      <c r="J237">
        <f>Table1[[#This Row],[Credit]]-Table1[[#This Row],[Debit]]</f>
        <v>-128.80000000000001</v>
      </c>
      <c r="K237" s="7" t="str">
        <f>TEXT(Table1[[#This Row],[Date]], "mmm")</f>
        <v>May</v>
      </c>
    </row>
    <row r="238" spans="1:11" hidden="1" x14ac:dyDescent="0.3">
      <c r="A238" s="1">
        <v>44344</v>
      </c>
      <c r="B238" t="s">
        <v>58</v>
      </c>
      <c r="C238">
        <v>235</v>
      </c>
      <c r="E238" t="s">
        <v>59</v>
      </c>
      <c r="F238" t="s">
        <v>28</v>
      </c>
      <c r="G238" t="s">
        <v>14</v>
      </c>
      <c r="H238">
        <f>MONTH(Table1[[#This Row],[Date]])</f>
        <v>5</v>
      </c>
      <c r="I238" s="2">
        <f>WEEKDAY(Table1[[#This Row],[Date]])</f>
        <v>6</v>
      </c>
      <c r="J238">
        <f>Table1[[#This Row],[Credit]]-Table1[[#This Row],[Debit]]</f>
        <v>-235</v>
      </c>
      <c r="K238" s="7" t="str">
        <f>TEXT(Table1[[#This Row],[Date]], "mmm")</f>
        <v>May</v>
      </c>
    </row>
    <row r="239" spans="1:11" hidden="1" x14ac:dyDescent="0.3">
      <c r="A239" s="1">
        <v>44345</v>
      </c>
      <c r="B239" t="s">
        <v>29</v>
      </c>
      <c r="C239">
        <v>149.19999999999999</v>
      </c>
      <c r="E239" t="s">
        <v>30</v>
      </c>
      <c r="F239" t="s">
        <v>28</v>
      </c>
      <c r="G239" t="s">
        <v>14</v>
      </c>
      <c r="H239">
        <f>MONTH(Table1[[#This Row],[Date]])</f>
        <v>5</v>
      </c>
      <c r="I239" s="2">
        <f>WEEKDAY(Table1[[#This Row],[Date]])</f>
        <v>7</v>
      </c>
      <c r="J239">
        <f>Table1[[#This Row],[Credit]]-Table1[[#This Row],[Debit]]</f>
        <v>-149.19999999999999</v>
      </c>
      <c r="K239" s="7" t="str">
        <f>TEXT(Table1[[#This Row],[Date]], "mmm")</f>
        <v>May</v>
      </c>
    </row>
    <row r="240" spans="1:11" hidden="1" x14ac:dyDescent="0.3">
      <c r="A240" s="1">
        <v>44345</v>
      </c>
      <c r="B240" t="s">
        <v>33</v>
      </c>
      <c r="C240">
        <v>27.200000000000003</v>
      </c>
      <c r="E240" t="s">
        <v>34</v>
      </c>
      <c r="F240" t="s">
        <v>20</v>
      </c>
      <c r="G240" t="s">
        <v>14</v>
      </c>
      <c r="H240">
        <f>MONTH(Table1[[#This Row],[Date]])</f>
        <v>5</v>
      </c>
      <c r="I240" s="2">
        <f>WEEKDAY(Table1[[#This Row],[Date]])</f>
        <v>7</v>
      </c>
      <c r="J240">
        <f>Table1[[#This Row],[Credit]]-Table1[[#This Row],[Debit]]</f>
        <v>-27.200000000000003</v>
      </c>
      <c r="K240" s="7" t="str">
        <f>TEXT(Table1[[#This Row],[Date]], "mmm")</f>
        <v>May</v>
      </c>
    </row>
    <row r="241" spans="1:11" hidden="1" x14ac:dyDescent="0.3">
      <c r="A241" s="1">
        <v>44347</v>
      </c>
      <c r="B241" t="s">
        <v>56</v>
      </c>
      <c r="C241">
        <v>15</v>
      </c>
      <c r="E241" t="s">
        <v>32</v>
      </c>
      <c r="F241" t="s">
        <v>13</v>
      </c>
      <c r="G241" t="s">
        <v>14</v>
      </c>
      <c r="H241">
        <f>MONTH(Table1[[#This Row],[Date]])</f>
        <v>5</v>
      </c>
      <c r="I241" s="2">
        <f>WEEKDAY(Table1[[#This Row],[Date]])</f>
        <v>2</v>
      </c>
      <c r="J241">
        <f>Table1[[#This Row],[Credit]]-Table1[[#This Row],[Debit]]</f>
        <v>-15</v>
      </c>
      <c r="K241" s="7" t="str">
        <f>TEXT(Table1[[#This Row],[Date]], "mmm")</f>
        <v>May</v>
      </c>
    </row>
    <row r="242" spans="1:11" hidden="1" x14ac:dyDescent="0.3">
      <c r="A242" s="1">
        <v>44346</v>
      </c>
      <c r="B242" t="s">
        <v>11</v>
      </c>
      <c r="C242">
        <v>5</v>
      </c>
      <c r="E242" t="s">
        <v>12</v>
      </c>
      <c r="F242" t="s">
        <v>13</v>
      </c>
      <c r="G242" t="s">
        <v>14</v>
      </c>
      <c r="H242">
        <f>MONTH(Table1[[#This Row],[Date]])</f>
        <v>5</v>
      </c>
      <c r="I242" s="2">
        <f>WEEKDAY(Table1[[#This Row],[Date]])</f>
        <v>1</v>
      </c>
      <c r="J242">
        <f>Table1[[#This Row],[Credit]]-Table1[[#This Row],[Debit]]</f>
        <v>-5</v>
      </c>
      <c r="K242" s="7" t="str">
        <f>TEXT(Table1[[#This Row],[Date]], "mmm")</f>
        <v>May</v>
      </c>
    </row>
    <row r="243" spans="1:11" hidden="1" x14ac:dyDescent="0.3">
      <c r="A243" s="1">
        <v>44347</v>
      </c>
      <c r="B243" t="s">
        <v>11</v>
      </c>
      <c r="C243">
        <v>5</v>
      </c>
      <c r="E243" t="s">
        <v>12</v>
      </c>
      <c r="F243" t="s">
        <v>13</v>
      </c>
      <c r="G243" t="s">
        <v>14</v>
      </c>
      <c r="H243">
        <f>MONTH(Table1[[#This Row],[Date]])</f>
        <v>5</v>
      </c>
      <c r="I243" s="2">
        <f>WEEKDAY(Table1[[#This Row],[Date]])</f>
        <v>2</v>
      </c>
      <c r="J243">
        <f>Table1[[#This Row],[Credit]]-Table1[[#This Row],[Debit]]</f>
        <v>-5</v>
      </c>
      <c r="K243" s="7" t="str">
        <f>TEXT(Table1[[#This Row],[Date]], "mmm")</f>
        <v>May</v>
      </c>
    </row>
    <row r="244" spans="1:11" hidden="1" x14ac:dyDescent="0.3">
      <c r="A244" s="1">
        <v>44348</v>
      </c>
      <c r="B244" t="s">
        <v>7</v>
      </c>
      <c r="D244">
        <v>5000</v>
      </c>
      <c r="E244" t="s">
        <v>8</v>
      </c>
      <c r="F244" t="s">
        <v>9</v>
      </c>
      <c r="G244" t="s">
        <v>10</v>
      </c>
      <c r="H244">
        <f>MONTH(Table1[[#This Row],[Date]])</f>
        <v>6</v>
      </c>
      <c r="I244" s="2">
        <f>WEEKDAY(Table1[[#This Row],[Date]])</f>
        <v>3</v>
      </c>
      <c r="J244">
        <f>Table1[[#This Row],[Credit]]-Table1[[#This Row],[Debit]]</f>
        <v>5000</v>
      </c>
      <c r="K244" s="7" t="str">
        <f>TEXT(Table1[[#This Row],[Date]], "mmm")</f>
        <v>Jun</v>
      </c>
    </row>
    <row r="245" spans="1:11" hidden="1" x14ac:dyDescent="0.3">
      <c r="A245" s="1">
        <v>44350</v>
      </c>
      <c r="B245" t="s">
        <v>11</v>
      </c>
      <c r="C245">
        <v>5</v>
      </c>
      <c r="E245" t="s">
        <v>12</v>
      </c>
      <c r="F245" t="s">
        <v>13</v>
      </c>
      <c r="G245" t="s">
        <v>14</v>
      </c>
      <c r="H245">
        <f>MONTH(Table1[[#This Row],[Date]])</f>
        <v>6</v>
      </c>
      <c r="I245" s="2">
        <f>WEEKDAY(Table1[[#This Row],[Date]])</f>
        <v>5</v>
      </c>
      <c r="J245">
        <f>Table1[[#This Row],[Credit]]-Table1[[#This Row],[Debit]]</f>
        <v>-5</v>
      </c>
      <c r="K245" s="7" t="str">
        <f>TEXT(Table1[[#This Row],[Date]], "mmm")</f>
        <v>Jun</v>
      </c>
    </row>
    <row r="246" spans="1:11" hidden="1" x14ac:dyDescent="0.3">
      <c r="A246" s="1">
        <v>44350</v>
      </c>
      <c r="B246" t="s">
        <v>15</v>
      </c>
      <c r="C246">
        <v>900</v>
      </c>
      <c r="E246" t="s">
        <v>16</v>
      </c>
      <c r="F246" t="s">
        <v>17</v>
      </c>
      <c r="G246" t="s">
        <v>14</v>
      </c>
      <c r="H246">
        <f>MONTH(Table1[[#This Row],[Date]])</f>
        <v>6</v>
      </c>
      <c r="I246" s="2">
        <f>WEEKDAY(Table1[[#This Row],[Date]])</f>
        <v>5</v>
      </c>
      <c r="J246">
        <f>Table1[[#This Row],[Credit]]-Table1[[#This Row],[Debit]]</f>
        <v>-900</v>
      </c>
      <c r="K246" s="7" t="str">
        <f>TEXT(Table1[[#This Row],[Date]], "mmm")</f>
        <v>Jun</v>
      </c>
    </row>
    <row r="247" spans="1:11" hidden="1" x14ac:dyDescent="0.3">
      <c r="A247" s="1">
        <v>44350</v>
      </c>
      <c r="B247" t="s">
        <v>18</v>
      </c>
      <c r="C247">
        <v>150</v>
      </c>
      <c r="E247" t="s">
        <v>19</v>
      </c>
      <c r="F247" t="s">
        <v>20</v>
      </c>
      <c r="G247" t="s">
        <v>14</v>
      </c>
      <c r="H247">
        <f>MONTH(Table1[[#This Row],[Date]])</f>
        <v>6</v>
      </c>
      <c r="I247" s="2">
        <f>WEEKDAY(Table1[[#This Row],[Date]])</f>
        <v>5</v>
      </c>
      <c r="J247">
        <f>Table1[[#This Row],[Credit]]-Table1[[#This Row],[Debit]]</f>
        <v>-150</v>
      </c>
      <c r="K247" s="7" t="str">
        <f>TEXT(Table1[[#This Row],[Date]], "mmm")</f>
        <v>Jun</v>
      </c>
    </row>
    <row r="248" spans="1:11" hidden="1" x14ac:dyDescent="0.3">
      <c r="A248" s="1">
        <v>44350</v>
      </c>
      <c r="B248" t="s">
        <v>11</v>
      </c>
      <c r="C248">
        <v>5</v>
      </c>
      <c r="E248" t="s">
        <v>12</v>
      </c>
      <c r="F248" t="s">
        <v>13</v>
      </c>
      <c r="G248" t="s">
        <v>14</v>
      </c>
      <c r="H248">
        <f>MONTH(Table1[[#This Row],[Date]])</f>
        <v>6</v>
      </c>
      <c r="I248" s="2">
        <f>WEEKDAY(Table1[[#This Row],[Date]])</f>
        <v>5</v>
      </c>
      <c r="J248">
        <f>Table1[[#This Row],[Credit]]-Table1[[#This Row],[Debit]]</f>
        <v>-5</v>
      </c>
      <c r="K248" s="7" t="str">
        <f>TEXT(Table1[[#This Row],[Date]], "mmm")</f>
        <v>Jun</v>
      </c>
    </row>
    <row r="249" spans="1:11" hidden="1" x14ac:dyDescent="0.3">
      <c r="A249" s="1">
        <v>44351</v>
      </c>
      <c r="B249" t="s">
        <v>11</v>
      </c>
      <c r="C249">
        <v>5</v>
      </c>
      <c r="E249" t="s">
        <v>12</v>
      </c>
      <c r="F249" t="s">
        <v>13</v>
      </c>
      <c r="G249" t="s">
        <v>14</v>
      </c>
      <c r="H249">
        <f>MONTH(Table1[[#This Row],[Date]])</f>
        <v>6</v>
      </c>
      <c r="I249" s="2">
        <f>WEEKDAY(Table1[[#This Row],[Date]])</f>
        <v>6</v>
      </c>
      <c r="J249">
        <f>Table1[[#This Row],[Credit]]-Table1[[#This Row],[Debit]]</f>
        <v>-5</v>
      </c>
      <c r="K249" s="7" t="str">
        <f>TEXT(Table1[[#This Row],[Date]], "mmm")</f>
        <v>Jun</v>
      </c>
    </row>
    <row r="250" spans="1:11" hidden="1" x14ac:dyDescent="0.3">
      <c r="A250" s="1">
        <v>44352</v>
      </c>
      <c r="B250" t="s">
        <v>11</v>
      </c>
      <c r="C250">
        <v>5</v>
      </c>
      <c r="E250" t="s">
        <v>12</v>
      </c>
      <c r="F250" t="s">
        <v>13</v>
      </c>
      <c r="G250" t="s">
        <v>14</v>
      </c>
      <c r="H250">
        <f>MONTH(Table1[[#This Row],[Date]])</f>
        <v>6</v>
      </c>
      <c r="I250" s="2">
        <f>WEEKDAY(Table1[[#This Row],[Date]])</f>
        <v>7</v>
      </c>
      <c r="J250">
        <f>Table1[[#This Row],[Credit]]-Table1[[#This Row],[Debit]]</f>
        <v>-5</v>
      </c>
      <c r="K250" s="7" t="str">
        <f>TEXT(Table1[[#This Row],[Date]], "mmm")</f>
        <v>Jun</v>
      </c>
    </row>
    <row r="251" spans="1:11" hidden="1" x14ac:dyDescent="0.3">
      <c r="A251" s="1">
        <v>44353</v>
      </c>
      <c r="B251" t="s">
        <v>11</v>
      </c>
      <c r="C251">
        <v>5</v>
      </c>
      <c r="E251" t="s">
        <v>12</v>
      </c>
      <c r="F251" t="s">
        <v>13</v>
      </c>
      <c r="G251" t="s">
        <v>14</v>
      </c>
      <c r="H251">
        <f>MONTH(Table1[[#This Row],[Date]])</f>
        <v>6</v>
      </c>
      <c r="I251" s="2">
        <f>WEEKDAY(Table1[[#This Row],[Date]])</f>
        <v>1</v>
      </c>
      <c r="J251">
        <f>Table1[[#This Row],[Credit]]-Table1[[#This Row],[Debit]]</f>
        <v>-5</v>
      </c>
      <c r="K251" s="7" t="str">
        <f>TEXT(Table1[[#This Row],[Date]], "mmm")</f>
        <v>Jun</v>
      </c>
    </row>
    <row r="252" spans="1:11" hidden="1" x14ac:dyDescent="0.3">
      <c r="A252" s="1">
        <v>44353</v>
      </c>
      <c r="B252" t="s">
        <v>21</v>
      </c>
      <c r="C252">
        <v>119</v>
      </c>
      <c r="E252" t="s">
        <v>22</v>
      </c>
      <c r="F252" t="s">
        <v>17</v>
      </c>
      <c r="G252" t="s">
        <v>14</v>
      </c>
      <c r="H252">
        <f>MONTH(Table1[[#This Row],[Date]])</f>
        <v>6</v>
      </c>
      <c r="I252" s="2">
        <f>WEEKDAY(Table1[[#This Row],[Date]])</f>
        <v>1</v>
      </c>
      <c r="J252">
        <f>Table1[[#This Row],[Credit]]-Table1[[#This Row],[Debit]]</f>
        <v>-119</v>
      </c>
      <c r="K252" s="7" t="str">
        <f>TEXT(Table1[[#This Row],[Date]], "mmm")</f>
        <v>Jun</v>
      </c>
    </row>
    <row r="253" spans="1:11" hidden="1" x14ac:dyDescent="0.3">
      <c r="A253" s="1">
        <v>44356</v>
      </c>
      <c r="B253" t="s">
        <v>23</v>
      </c>
      <c r="C253">
        <v>55</v>
      </c>
      <c r="E253" t="s">
        <v>24</v>
      </c>
      <c r="F253" t="s">
        <v>17</v>
      </c>
      <c r="G253" t="s">
        <v>14</v>
      </c>
      <c r="H253">
        <f>MONTH(Table1[[#This Row],[Date]])</f>
        <v>6</v>
      </c>
      <c r="I253" s="2">
        <f>WEEKDAY(Table1[[#This Row],[Date]])</f>
        <v>4</v>
      </c>
      <c r="J253">
        <f>Table1[[#This Row],[Credit]]-Table1[[#This Row],[Debit]]</f>
        <v>-55</v>
      </c>
      <c r="K253" s="7" t="str">
        <f>TEXT(Table1[[#This Row],[Date]], "mmm")</f>
        <v>Jun</v>
      </c>
    </row>
    <row r="254" spans="1:11" hidden="1" x14ac:dyDescent="0.3">
      <c r="A254" s="1">
        <v>44356</v>
      </c>
      <c r="B254" t="s">
        <v>11</v>
      </c>
      <c r="C254">
        <v>5</v>
      </c>
      <c r="E254" t="s">
        <v>12</v>
      </c>
      <c r="F254" t="s">
        <v>13</v>
      </c>
      <c r="G254" t="s">
        <v>14</v>
      </c>
      <c r="H254">
        <f>MONTH(Table1[[#This Row],[Date]])</f>
        <v>6</v>
      </c>
      <c r="I254" s="2">
        <f>WEEKDAY(Table1[[#This Row],[Date]])</f>
        <v>4</v>
      </c>
      <c r="J254">
        <f>Table1[[#This Row],[Credit]]-Table1[[#This Row],[Debit]]</f>
        <v>-5</v>
      </c>
      <c r="K254" s="7" t="str">
        <f>TEXT(Table1[[#This Row],[Date]], "mmm")</f>
        <v>Jun</v>
      </c>
    </row>
    <row r="255" spans="1:11" hidden="1" x14ac:dyDescent="0.3">
      <c r="A255" s="1">
        <v>44357</v>
      </c>
      <c r="B255" t="s">
        <v>11</v>
      </c>
      <c r="C255">
        <v>5</v>
      </c>
      <c r="E255" t="s">
        <v>12</v>
      </c>
      <c r="F255" t="s">
        <v>13</v>
      </c>
      <c r="G255" t="s">
        <v>14</v>
      </c>
      <c r="H255">
        <f>MONTH(Table1[[#This Row],[Date]])</f>
        <v>6</v>
      </c>
      <c r="I255" s="2">
        <f>WEEKDAY(Table1[[#This Row],[Date]])</f>
        <v>5</v>
      </c>
      <c r="J255">
        <f>Table1[[#This Row],[Credit]]-Table1[[#This Row],[Debit]]</f>
        <v>-5</v>
      </c>
      <c r="K255" s="7" t="str">
        <f>TEXT(Table1[[#This Row],[Date]], "mmm")</f>
        <v>Jun</v>
      </c>
    </row>
    <row r="256" spans="1:11" hidden="1" x14ac:dyDescent="0.3">
      <c r="A256" s="1">
        <v>44358</v>
      </c>
      <c r="B256" t="s">
        <v>25</v>
      </c>
      <c r="C256">
        <v>82.1</v>
      </c>
      <c r="E256" t="s">
        <v>48</v>
      </c>
      <c r="F256" t="s">
        <v>20</v>
      </c>
      <c r="G256" t="s">
        <v>14</v>
      </c>
      <c r="H256">
        <f>MONTH(Table1[[#This Row],[Date]])</f>
        <v>6</v>
      </c>
      <c r="I256" s="2">
        <f>WEEKDAY(Table1[[#This Row],[Date]])</f>
        <v>6</v>
      </c>
      <c r="J256">
        <f>Table1[[#This Row],[Credit]]-Table1[[#This Row],[Debit]]</f>
        <v>-82.1</v>
      </c>
      <c r="K256" s="7" t="str">
        <f>TEXT(Table1[[#This Row],[Date]], "mmm")</f>
        <v>Jun</v>
      </c>
    </row>
    <row r="257" spans="1:11" hidden="1" x14ac:dyDescent="0.3">
      <c r="A257" s="1">
        <v>44358</v>
      </c>
      <c r="B257" t="s">
        <v>11</v>
      </c>
      <c r="C257">
        <v>5</v>
      </c>
      <c r="E257" t="s">
        <v>12</v>
      </c>
      <c r="F257" t="s">
        <v>13</v>
      </c>
      <c r="G257" t="s">
        <v>14</v>
      </c>
      <c r="H257">
        <f>MONTH(Table1[[#This Row],[Date]])</f>
        <v>6</v>
      </c>
      <c r="I257" s="2">
        <f>WEEKDAY(Table1[[#This Row],[Date]])</f>
        <v>6</v>
      </c>
      <c r="J257">
        <f>Table1[[#This Row],[Credit]]-Table1[[#This Row],[Debit]]</f>
        <v>-5</v>
      </c>
      <c r="K257" s="7" t="str">
        <f>TEXT(Table1[[#This Row],[Date]], "mmm")</f>
        <v>Jun</v>
      </c>
    </row>
    <row r="258" spans="1:11" hidden="1" x14ac:dyDescent="0.3">
      <c r="A258" s="1">
        <v>44359</v>
      </c>
      <c r="B258" t="s">
        <v>11</v>
      </c>
      <c r="C258">
        <v>5</v>
      </c>
      <c r="E258" t="s">
        <v>12</v>
      </c>
      <c r="F258" t="s">
        <v>13</v>
      </c>
      <c r="G258" t="s">
        <v>14</v>
      </c>
      <c r="H258">
        <f>MONTH(Table1[[#This Row],[Date]])</f>
        <v>6</v>
      </c>
      <c r="I258" s="2">
        <f>WEEKDAY(Table1[[#This Row],[Date]])</f>
        <v>7</v>
      </c>
      <c r="J258">
        <f>Table1[[#This Row],[Credit]]-Table1[[#This Row],[Debit]]</f>
        <v>-5</v>
      </c>
      <c r="K258" s="7" t="str">
        <f>TEXT(Table1[[#This Row],[Date]], "mmm")</f>
        <v>Jun</v>
      </c>
    </row>
    <row r="259" spans="1:11" hidden="1" x14ac:dyDescent="0.3">
      <c r="A259" s="1">
        <v>44360</v>
      </c>
      <c r="B259" t="s">
        <v>21</v>
      </c>
      <c r="C259">
        <v>140.19999999999999</v>
      </c>
      <c r="E259" t="s">
        <v>22</v>
      </c>
      <c r="F259" t="s">
        <v>17</v>
      </c>
      <c r="G259" t="s">
        <v>14</v>
      </c>
      <c r="H259">
        <f>MONTH(Table1[[#This Row],[Date]])</f>
        <v>6</v>
      </c>
      <c r="I259" s="2">
        <f>WEEKDAY(Table1[[#This Row],[Date]])</f>
        <v>1</v>
      </c>
      <c r="J259">
        <f>Table1[[#This Row],[Credit]]-Table1[[#This Row],[Debit]]</f>
        <v>-140.19999999999999</v>
      </c>
      <c r="K259" s="7" t="str">
        <f>TEXT(Table1[[#This Row],[Date]], "mmm")</f>
        <v>Jun</v>
      </c>
    </row>
    <row r="260" spans="1:11" hidden="1" x14ac:dyDescent="0.3">
      <c r="A260" s="1">
        <v>44360</v>
      </c>
      <c r="B260" t="s">
        <v>11</v>
      </c>
      <c r="C260">
        <v>5</v>
      </c>
      <c r="E260" t="s">
        <v>12</v>
      </c>
      <c r="F260" t="s">
        <v>13</v>
      </c>
      <c r="G260" t="s">
        <v>14</v>
      </c>
      <c r="H260">
        <f>MONTH(Table1[[#This Row],[Date]])</f>
        <v>6</v>
      </c>
      <c r="I260" s="2">
        <f>WEEKDAY(Table1[[#This Row],[Date]])</f>
        <v>1</v>
      </c>
      <c r="J260">
        <f>Table1[[#This Row],[Credit]]-Table1[[#This Row],[Debit]]</f>
        <v>-5</v>
      </c>
      <c r="K260" s="7" t="str">
        <f>TEXT(Table1[[#This Row],[Date]], "mmm")</f>
        <v>Jun</v>
      </c>
    </row>
    <row r="261" spans="1:11" hidden="1" x14ac:dyDescent="0.3">
      <c r="A261" s="1">
        <v>44361</v>
      </c>
      <c r="B261" t="s">
        <v>11</v>
      </c>
      <c r="C261">
        <v>5</v>
      </c>
      <c r="E261" t="s">
        <v>12</v>
      </c>
      <c r="F261" t="s">
        <v>13</v>
      </c>
      <c r="G261" t="s">
        <v>14</v>
      </c>
      <c r="H261">
        <f>MONTH(Table1[[#This Row],[Date]])</f>
        <v>6</v>
      </c>
      <c r="I261" s="2">
        <f>WEEKDAY(Table1[[#This Row],[Date]])</f>
        <v>2</v>
      </c>
      <c r="J261">
        <f>Table1[[#This Row],[Credit]]-Table1[[#This Row],[Debit]]</f>
        <v>-5</v>
      </c>
      <c r="K261" s="7" t="str">
        <f>TEXT(Table1[[#This Row],[Date]], "mmm")</f>
        <v>Jun</v>
      </c>
    </row>
    <row r="262" spans="1:11" hidden="1" x14ac:dyDescent="0.3">
      <c r="A262" s="1">
        <v>44361</v>
      </c>
      <c r="B262" t="s">
        <v>26</v>
      </c>
      <c r="C262">
        <v>44.9</v>
      </c>
      <c r="E262" t="s">
        <v>27</v>
      </c>
      <c r="F262" t="s">
        <v>28</v>
      </c>
      <c r="G262" t="s">
        <v>14</v>
      </c>
      <c r="H262">
        <f>MONTH(Table1[[#This Row],[Date]])</f>
        <v>6</v>
      </c>
      <c r="I262" s="2">
        <f>WEEKDAY(Table1[[#This Row],[Date]])</f>
        <v>2</v>
      </c>
      <c r="J262">
        <f>Table1[[#This Row],[Credit]]-Table1[[#This Row],[Debit]]</f>
        <v>-44.9</v>
      </c>
      <c r="K262" s="7" t="str">
        <f>TEXT(Table1[[#This Row],[Date]], "mmm")</f>
        <v>Jun</v>
      </c>
    </row>
    <row r="263" spans="1:11" hidden="1" x14ac:dyDescent="0.3">
      <c r="A263" s="1">
        <v>44361</v>
      </c>
      <c r="B263" t="s">
        <v>29</v>
      </c>
      <c r="C263">
        <v>102.9</v>
      </c>
      <c r="E263" t="s">
        <v>30</v>
      </c>
      <c r="F263" t="s">
        <v>28</v>
      </c>
      <c r="G263" t="s">
        <v>14</v>
      </c>
      <c r="H263">
        <f>MONTH(Table1[[#This Row],[Date]])</f>
        <v>6</v>
      </c>
      <c r="I263" s="2">
        <f>WEEKDAY(Table1[[#This Row],[Date]])</f>
        <v>2</v>
      </c>
      <c r="J263">
        <f>Table1[[#This Row],[Credit]]-Table1[[#This Row],[Debit]]</f>
        <v>-102.9</v>
      </c>
      <c r="K263" s="7" t="str">
        <f>TEXT(Table1[[#This Row],[Date]], "mmm")</f>
        <v>Jun</v>
      </c>
    </row>
    <row r="264" spans="1:11" hidden="1" x14ac:dyDescent="0.3">
      <c r="A264" s="1">
        <v>44361</v>
      </c>
      <c r="B264" t="s">
        <v>31</v>
      </c>
      <c r="C264">
        <v>56.9</v>
      </c>
      <c r="E264" t="s">
        <v>32</v>
      </c>
      <c r="F264" t="s">
        <v>13</v>
      </c>
      <c r="G264" t="s">
        <v>14</v>
      </c>
      <c r="H264">
        <f>MONTH(Table1[[#This Row],[Date]])</f>
        <v>6</v>
      </c>
      <c r="I264" s="2">
        <f>WEEKDAY(Table1[[#This Row],[Date]])</f>
        <v>2</v>
      </c>
      <c r="J264">
        <f>Table1[[#This Row],[Credit]]-Table1[[#This Row],[Debit]]</f>
        <v>-56.9</v>
      </c>
      <c r="K264" s="7" t="str">
        <f>TEXT(Table1[[#This Row],[Date]], "mmm")</f>
        <v>Jun</v>
      </c>
    </row>
    <row r="265" spans="1:11" hidden="1" x14ac:dyDescent="0.3">
      <c r="A265" s="1">
        <v>44362</v>
      </c>
      <c r="B265" t="s">
        <v>33</v>
      </c>
      <c r="C265">
        <v>33.1</v>
      </c>
      <c r="E265" t="s">
        <v>34</v>
      </c>
      <c r="F265" t="s">
        <v>20</v>
      </c>
      <c r="G265" t="s">
        <v>14</v>
      </c>
      <c r="H265">
        <f>MONTH(Table1[[#This Row],[Date]])</f>
        <v>6</v>
      </c>
      <c r="I265" s="2">
        <f>WEEKDAY(Table1[[#This Row],[Date]])</f>
        <v>3</v>
      </c>
      <c r="J265">
        <f>Table1[[#This Row],[Credit]]-Table1[[#This Row],[Debit]]</f>
        <v>-33.1</v>
      </c>
      <c r="K265" s="7" t="str">
        <f>TEXT(Table1[[#This Row],[Date]], "mmm")</f>
        <v>Jun</v>
      </c>
    </row>
    <row r="266" spans="1:11" hidden="1" x14ac:dyDescent="0.3">
      <c r="A266" s="1">
        <v>44363</v>
      </c>
      <c r="B266" t="s">
        <v>35</v>
      </c>
      <c r="D266">
        <v>100</v>
      </c>
      <c r="E266" t="s">
        <v>36</v>
      </c>
      <c r="F266" t="s">
        <v>37</v>
      </c>
      <c r="G266" t="s">
        <v>10</v>
      </c>
      <c r="H266">
        <f>MONTH(Table1[[#This Row],[Date]])</f>
        <v>6</v>
      </c>
      <c r="I266" s="2">
        <f>WEEKDAY(Table1[[#This Row],[Date]])</f>
        <v>4</v>
      </c>
      <c r="J266">
        <f>Table1[[#This Row],[Credit]]-Table1[[#This Row],[Debit]]</f>
        <v>100</v>
      </c>
      <c r="K266" s="7" t="str">
        <f>TEXT(Table1[[#This Row],[Date]], "mmm")</f>
        <v>Jun</v>
      </c>
    </row>
    <row r="267" spans="1:11" hidden="1" x14ac:dyDescent="0.3">
      <c r="A267" s="1">
        <v>44363</v>
      </c>
      <c r="B267" t="s">
        <v>11</v>
      </c>
      <c r="C267">
        <v>5</v>
      </c>
      <c r="E267" t="s">
        <v>12</v>
      </c>
      <c r="F267" t="s">
        <v>13</v>
      </c>
      <c r="G267" t="s">
        <v>14</v>
      </c>
      <c r="H267">
        <f>MONTH(Table1[[#This Row],[Date]])</f>
        <v>6</v>
      </c>
      <c r="I267" s="2">
        <f>WEEKDAY(Table1[[#This Row],[Date]])</f>
        <v>4</v>
      </c>
      <c r="J267">
        <f>Table1[[#This Row],[Credit]]-Table1[[#This Row],[Debit]]</f>
        <v>-5</v>
      </c>
      <c r="K267" s="7" t="str">
        <f>TEXT(Table1[[#This Row],[Date]], "mmm")</f>
        <v>Jun</v>
      </c>
    </row>
    <row r="268" spans="1:11" hidden="1" x14ac:dyDescent="0.3">
      <c r="A268" s="1">
        <v>44364</v>
      </c>
      <c r="B268" t="s">
        <v>11</v>
      </c>
      <c r="C268">
        <v>5</v>
      </c>
      <c r="E268" t="s">
        <v>12</v>
      </c>
      <c r="F268" t="s">
        <v>13</v>
      </c>
      <c r="G268" t="s">
        <v>14</v>
      </c>
      <c r="H268">
        <f>MONTH(Table1[[#This Row],[Date]])</f>
        <v>6</v>
      </c>
      <c r="I268" s="2">
        <f>WEEKDAY(Table1[[#This Row],[Date]])</f>
        <v>5</v>
      </c>
      <c r="J268">
        <f>Table1[[#This Row],[Credit]]-Table1[[#This Row],[Debit]]</f>
        <v>-5</v>
      </c>
      <c r="K268" s="7" t="str">
        <f>TEXT(Table1[[#This Row],[Date]], "mmm")</f>
        <v>Jun</v>
      </c>
    </row>
    <row r="269" spans="1:11" hidden="1" x14ac:dyDescent="0.3">
      <c r="A269" s="1">
        <v>44364</v>
      </c>
      <c r="B269" t="s">
        <v>39</v>
      </c>
      <c r="C269">
        <v>40</v>
      </c>
      <c r="E269" t="s">
        <v>39</v>
      </c>
      <c r="F269" t="s">
        <v>17</v>
      </c>
      <c r="G269" t="s">
        <v>14</v>
      </c>
      <c r="H269">
        <f>MONTH(Table1[[#This Row],[Date]])</f>
        <v>6</v>
      </c>
      <c r="I269" s="2">
        <f>WEEKDAY(Table1[[#This Row],[Date]])</f>
        <v>5</v>
      </c>
      <c r="J269">
        <f>Table1[[#This Row],[Credit]]-Table1[[#This Row],[Debit]]</f>
        <v>-40</v>
      </c>
      <c r="K269" s="7" t="str">
        <f>TEXT(Table1[[#This Row],[Date]], "mmm")</f>
        <v>Jun</v>
      </c>
    </row>
    <row r="270" spans="1:11" hidden="1" x14ac:dyDescent="0.3">
      <c r="A270" s="1">
        <v>44365</v>
      </c>
      <c r="B270" t="s">
        <v>40</v>
      </c>
      <c r="C270">
        <v>50.1</v>
      </c>
      <c r="E270" t="s">
        <v>41</v>
      </c>
      <c r="F270" t="s">
        <v>28</v>
      </c>
      <c r="G270" t="s">
        <v>14</v>
      </c>
      <c r="H270">
        <f>MONTH(Table1[[#This Row],[Date]])</f>
        <v>6</v>
      </c>
      <c r="I270" s="2">
        <f>WEEKDAY(Table1[[#This Row],[Date]])</f>
        <v>6</v>
      </c>
      <c r="J270">
        <f>Table1[[#This Row],[Credit]]-Table1[[#This Row],[Debit]]</f>
        <v>-50.1</v>
      </c>
      <c r="K270" s="7" t="str">
        <f>TEXT(Table1[[#This Row],[Date]], "mmm")</f>
        <v>Jun</v>
      </c>
    </row>
    <row r="271" spans="1:11" hidden="1" x14ac:dyDescent="0.3">
      <c r="A271" s="1">
        <v>44365</v>
      </c>
      <c r="B271" t="s">
        <v>42</v>
      </c>
      <c r="C271">
        <v>35</v>
      </c>
      <c r="E271" t="s">
        <v>27</v>
      </c>
      <c r="F271" t="s">
        <v>28</v>
      </c>
      <c r="G271" t="s">
        <v>14</v>
      </c>
      <c r="H271">
        <f>MONTH(Table1[[#This Row],[Date]])</f>
        <v>6</v>
      </c>
      <c r="I271" s="2">
        <f>WEEKDAY(Table1[[#This Row],[Date]])</f>
        <v>6</v>
      </c>
      <c r="J271">
        <f>Table1[[#This Row],[Credit]]-Table1[[#This Row],[Debit]]</f>
        <v>-35</v>
      </c>
      <c r="K271" s="7" t="str">
        <f>TEXT(Table1[[#This Row],[Date]], "mmm")</f>
        <v>Jun</v>
      </c>
    </row>
    <row r="272" spans="1:11" hidden="1" x14ac:dyDescent="0.3">
      <c r="A272" s="1">
        <v>44365</v>
      </c>
      <c r="B272" t="s">
        <v>11</v>
      </c>
      <c r="C272">
        <v>5</v>
      </c>
      <c r="E272" t="s">
        <v>12</v>
      </c>
      <c r="F272" t="s">
        <v>13</v>
      </c>
      <c r="G272" t="s">
        <v>14</v>
      </c>
      <c r="H272">
        <f>MONTH(Table1[[#This Row],[Date]])</f>
        <v>6</v>
      </c>
      <c r="I272" s="2">
        <f>WEEKDAY(Table1[[#This Row],[Date]])</f>
        <v>6</v>
      </c>
      <c r="J272">
        <f>Table1[[#This Row],[Credit]]-Table1[[#This Row],[Debit]]</f>
        <v>-5</v>
      </c>
      <c r="K272" s="7" t="str">
        <f>TEXT(Table1[[#This Row],[Date]], "mmm")</f>
        <v>Jun</v>
      </c>
    </row>
    <row r="273" spans="1:11" hidden="1" x14ac:dyDescent="0.3">
      <c r="A273" s="1">
        <v>44366</v>
      </c>
      <c r="B273" t="s">
        <v>11</v>
      </c>
      <c r="C273">
        <v>5</v>
      </c>
      <c r="E273" t="s">
        <v>12</v>
      </c>
      <c r="F273" t="s">
        <v>13</v>
      </c>
      <c r="G273" t="s">
        <v>14</v>
      </c>
      <c r="H273">
        <f>MONTH(Table1[[#This Row],[Date]])</f>
        <v>6</v>
      </c>
      <c r="I273" s="2">
        <f>WEEKDAY(Table1[[#This Row],[Date]])</f>
        <v>7</v>
      </c>
      <c r="J273">
        <f>Table1[[#This Row],[Credit]]-Table1[[#This Row],[Debit]]</f>
        <v>-5</v>
      </c>
      <c r="K273" s="7" t="str">
        <f>TEXT(Table1[[#This Row],[Date]], "mmm")</f>
        <v>Jun</v>
      </c>
    </row>
    <row r="274" spans="1:11" hidden="1" x14ac:dyDescent="0.3">
      <c r="A274" s="1">
        <v>44367</v>
      </c>
      <c r="B274" t="s">
        <v>11</v>
      </c>
      <c r="C274">
        <v>5</v>
      </c>
      <c r="E274" t="s">
        <v>12</v>
      </c>
      <c r="F274" t="s">
        <v>13</v>
      </c>
      <c r="G274" t="s">
        <v>14</v>
      </c>
      <c r="H274">
        <f>MONTH(Table1[[#This Row],[Date]])</f>
        <v>6</v>
      </c>
      <c r="I274" s="2">
        <f>WEEKDAY(Table1[[#This Row],[Date]])</f>
        <v>1</v>
      </c>
      <c r="J274">
        <f>Table1[[#This Row],[Credit]]-Table1[[#This Row],[Debit]]</f>
        <v>-5</v>
      </c>
      <c r="K274" s="7" t="str">
        <f>TEXT(Table1[[#This Row],[Date]], "mmm")</f>
        <v>Jun</v>
      </c>
    </row>
    <row r="275" spans="1:11" hidden="1" x14ac:dyDescent="0.3">
      <c r="A275" s="1">
        <v>44367</v>
      </c>
      <c r="B275" t="s">
        <v>21</v>
      </c>
      <c r="C275">
        <v>234</v>
      </c>
      <c r="E275" t="s">
        <v>22</v>
      </c>
      <c r="F275" t="s">
        <v>17</v>
      </c>
      <c r="G275" t="s">
        <v>14</v>
      </c>
      <c r="H275">
        <f>MONTH(Table1[[#This Row],[Date]])</f>
        <v>6</v>
      </c>
      <c r="I275" s="2">
        <f>WEEKDAY(Table1[[#This Row],[Date]])</f>
        <v>1</v>
      </c>
      <c r="J275">
        <f>Table1[[#This Row],[Credit]]-Table1[[#This Row],[Debit]]</f>
        <v>-234</v>
      </c>
      <c r="K275" s="7" t="str">
        <f>TEXT(Table1[[#This Row],[Date]], "mmm")</f>
        <v>Jun</v>
      </c>
    </row>
    <row r="276" spans="1:11" hidden="1" x14ac:dyDescent="0.3">
      <c r="A276" s="1">
        <v>44368</v>
      </c>
      <c r="B276" t="s">
        <v>43</v>
      </c>
      <c r="C276">
        <v>42.1</v>
      </c>
      <c r="E276" t="s">
        <v>32</v>
      </c>
      <c r="F276" t="s">
        <v>13</v>
      </c>
      <c r="G276" t="s">
        <v>14</v>
      </c>
      <c r="H276">
        <f>MONTH(Table1[[#This Row],[Date]])</f>
        <v>6</v>
      </c>
      <c r="I276" s="2">
        <f>WEEKDAY(Table1[[#This Row],[Date]])</f>
        <v>2</v>
      </c>
      <c r="J276">
        <f>Table1[[#This Row],[Credit]]-Table1[[#This Row],[Debit]]</f>
        <v>-42.1</v>
      </c>
      <c r="K276" s="7" t="str">
        <f>TEXT(Table1[[#This Row],[Date]], "mmm")</f>
        <v>Jun</v>
      </c>
    </row>
    <row r="277" spans="1:11" hidden="1" x14ac:dyDescent="0.3">
      <c r="A277" s="1">
        <v>44369</v>
      </c>
      <c r="B277" t="s">
        <v>44</v>
      </c>
      <c r="C277">
        <v>17.099999999999998</v>
      </c>
      <c r="E277" t="s">
        <v>32</v>
      </c>
      <c r="F277" t="s">
        <v>13</v>
      </c>
      <c r="G277" t="s">
        <v>14</v>
      </c>
      <c r="H277">
        <f>MONTH(Table1[[#This Row],[Date]])</f>
        <v>6</v>
      </c>
      <c r="I277" s="2">
        <f>WEEKDAY(Table1[[#This Row],[Date]])</f>
        <v>3</v>
      </c>
      <c r="J277">
        <f>Table1[[#This Row],[Credit]]-Table1[[#This Row],[Debit]]</f>
        <v>-17.099999999999998</v>
      </c>
      <c r="K277" s="7" t="str">
        <f>TEXT(Table1[[#This Row],[Date]], "mmm")</f>
        <v>Jun</v>
      </c>
    </row>
    <row r="278" spans="1:11" hidden="1" x14ac:dyDescent="0.3">
      <c r="A278" s="1">
        <v>44370</v>
      </c>
      <c r="B278" t="s">
        <v>45</v>
      </c>
      <c r="C278">
        <v>55</v>
      </c>
      <c r="E278" t="s">
        <v>46</v>
      </c>
      <c r="F278" t="s">
        <v>47</v>
      </c>
      <c r="G278" t="s">
        <v>14</v>
      </c>
      <c r="H278">
        <f>MONTH(Table1[[#This Row],[Date]])</f>
        <v>6</v>
      </c>
      <c r="I278" s="2">
        <f>WEEKDAY(Table1[[#This Row],[Date]])</f>
        <v>4</v>
      </c>
      <c r="J278">
        <f>Table1[[#This Row],[Credit]]-Table1[[#This Row],[Debit]]</f>
        <v>-55</v>
      </c>
      <c r="K278" s="7" t="str">
        <f>TEXT(Table1[[#This Row],[Date]], "mmm")</f>
        <v>Jun</v>
      </c>
    </row>
    <row r="279" spans="1:11" hidden="1" x14ac:dyDescent="0.3">
      <c r="A279" s="1">
        <v>44370</v>
      </c>
      <c r="B279" t="s">
        <v>25</v>
      </c>
      <c r="C279">
        <v>67.900000000000006</v>
      </c>
      <c r="E279" t="s">
        <v>48</v>
      </c>
      <c r="F279" t="s">
        <v>20</v>
      </c>
      <c r="G279" t="s">
        <v>14</v>
      </c>
      <c r="H279">
        <f>MONTH(Table1[[#This Row],[Date]])</f>
        <v>6</v>
      </c>
      <c r="I279" s="2">
        <f>WEEKDAY(Table1[[#This Row],[Date]])</f>
        <v>4</v>
      </c>
      <c r="J279">
        <f>Table1[[#This Row],[Credit]]-Table1[[#This Row],[Debit]]</f>
        <v>-67.900000000000006</v>
      </c>
      <c r="K279" s="7" t="str">
        <f>TEXT(Table1[[#This Row],[Date]], "mmm")</f>
        <v>Jun</v>
      </c>
    </row>
    <row r="280" spans="1:11" hidden="1" x14ac:dyDescent="0.3">
      <c r="A280" s="1">
        <v>44370</v>
      </c>
      <c r="B280" t="s">
        <v>11</v>
      </c>
      <c r="C280">
        <v>5</v>
      </c>
      <c r="E280" t="s">
        <v>12</v>
      </c>
      <c r="F280" t="s">
        <v>13</v>
      </c>
      <c r="G280" t="s">
        <v>14</v>
      </c>
      <c r="H280">
        <f>MONTH(Table1[[#This Row],[Date]])</f>
        <v>6</v>
      </c>
      <c r="I280" s="2">
        <f>WEEKDAY(Table1[[#This Row],[Date]])</f>
        <v>4</v>
      </c>
      <c r="J280">
        <f>Table1[[#This Row],[Credit]]-Table1[[#This Row],[Debit]]</f>
        <v>-5</v>
      </c>
      <c r="K280" s="7" t="str">
        <f>TEXT(Table1[[#This Row],[Date]], "mmm")</f>
        <v>Jun</v>
      </c>
    </row>
    <row r="281" spans="1:11" hidden="1" x14ac:dyDescent="0.3">
      <c r="A281" s="1">
        <v>44371</v>
      </c>
      <c r="B281" t="s">
        <v>11</v>
      </c>
      <c r="C281">
        <v>5</v>
      </c>
      <c r="E281" t="s">
        <v>12</v>
      </c>
      <c r="F281" t="s">
        <v>13</v>
      </c>
      <c r="G281" t="s">
        <v>14</v>
      </c>
      <c r="H281">
        <f>MONTH(Table1[[#This Row],[Date]])</f>
        <v>6</v>
      </c>
      <c r="I281" s="2">
        <f>WEEKDAY(Table1[[#This Row],[Date]])</f>
        <v>5</v>
      </c>
      <c r="J281">
        <f>Table1[[#This Row],[Credit]]-Table1[[#This Row],[Debit]]</f>
        <v>-5</v>
      </c>
      <c r="K281" s="7" t="str">
        <f>TEXT(Table1[[#This Row],[Date]], "mmm")</f>
        <v>Jun</v>
      </c>
    </row>
    <row r="282" spans="1:11" hidden="1" x14ac:dyDescent="0.3">
      <c r="A282" s="1">
        <v>44372</v>
      </c>
      <c r="B282" t="s">
        <v>11</v>
      </c>
      <c r="C282">
        <v>5</v>
      </c>
      <c r="E282" t="s">
        <v>12</v>
      </c>
      <c r="F282" t="s">
        <v>13</v>
      </c>
      <c r="G282" t="s">
        <v>14</v>
      </c>
      <c r="H282">
        <f>MONTH(Table1[[#This Row],[Date]])</f>
        <v>6</v>
      </c>
      <c r="I282" s="2">
        <f>WEEKDAY(Table1[[#This Row],[Date]])</f>
        <v>6</v>
      </c>
      <c r="J282">
        <f>Table1[[#This Row],[Credit]]-Table1[[#This Row],[Debit]]</f>
        <v>-5</v>
      </c>
      <c r="K282" s="7" t="str">
        <f>TEXT(Table1[[#This Row],[Date]], "mmm")</f>
        <v>Jun</v>
      </c>
    </row>
    <row r="283" spans="1:11" hidden="1" x14ac:dyDescent="0.3">
      <c r="A283" s="1">
        <v>44373</v>
      </c>
      <c r="B283" t="s">
        <v>11</v>
      </c>
      <c r="C283">
        <v>5</v>
      </c>
      <c r="E283" t="s">
        <v>12</v>
      </c>
      <c r="F283" t="s">
        <v>13</v>
      </c>
      <c r="G283" t="s">
        <v>14</v>
      </c>
      <c r="H283">
        <f>MONTH(Table1[[#This Row],[Date]])</f>
        <v>6</v>
      </c>
      <c r="I283" s="2">
        <f>WEEKDAY(Table1[[#This Row],[Date]])</f>
        <v>7</v>
      </c>
      <c r="J283">
        <f>Table1[[#This Row],[Credit]]-Table1[[#This Row],[Debit]]</f>
        <v>-5</v>
      </c>
      <c r="K283" s="7" t="str">
        <f>TEXT(Table1[[#This Row],[Date]], "mmm")</f>
        <v>Jun</v>
      </c>
    </row>
    <row r="284" spans="1:11" hidden="1" x14ac:dyDescent="0.3">
      <c r="A284" s="1">
        <v>44374</v>
      </c>
      <c r="B284" t="s">
        <v>11</v>
      </c>
      <c r="C284">
        <v>5</v>
      </c>
      <c r="E284" t="s">
        <v>12</v>
      </c>
      <c r="F284" t="s">
        <v>13</v>
      </c>
      <c r="G284" t="s">
        <v>14</v>
      </c>
      <c r="H284">
        <f>MONTH(Table1[[#This Row],[Date]])</f>
        <v>6</v>
      </c>
      <c r="I284" s="2">
        <f>WEEKDAY(Table1[[#This Row],[Date]])</f>
        <v>1</v>
      </c>
      <c r="J284">
        <f>Table1[[#This Row],[Credit]]-Table1[[#This Row],[Debit]]</f>
        <v>-5</v>
      </c>
      <c r="K284" s="7" t="str">
        <f>TEXT(Table1[[#This Row],[Date]], "mmm")</f>
        <v>Jun</v>
      </c>
    </row>
    <row r="285" spans="1:11" hidden="1" x14ac:dyDescent="0.3">
      <c r="A285" s="1">
        <v>44374</v>
      </c>
      <c r="B285" t="s">
        <v>21</v>
      </c>
      <c r="C285">
        <v>166.9</v>
      </c>
      <c r="E285" t="s">
        <v>22</v>
      </c>
      <c r="F285" t="s">
        <v>17</v>
      </c>
      <c r="G285" t="s">
        <v>14</v>
      </c>
      <c r="H285">
        <f>MONTH(Table1[[#This Row],[Date]])</f>
        <v>6</v>
      </c>
      <c r="I285" s="2">
        <f>WEEKDAY(Table1[[#This Row],[Date]])</f>
        <v>1</v>
      </c>
      <c r="J285">
        <f>Table1[[#This Row],[Credit]]-Table1[[#This Row],[Debit]]</f>
        <v>-166.9</v>
      </c>
      <c r="K285" s="7" t="str">
        <f>TEXT(Table1[[#This Row],[Date]], "mmm")</f>
        <v>Jun</v>
      </c>
    </row>
    <row r="286" spans="1:11" hidden="1" x14ac:dyDescent="0.3">
      <c r="A286" s="1">
        <v>44375</v>
      </c>
      <c r="B286" t="s">
        <v>49</v>
      </c>
      <c r="C286">
        <v>129.9</v>
      </c>
      <c r="E286" t="s">
        <v>30</v>
      </c>
      <c r="F286" t="s">
        <v>28</v>
      </c>
      <c r="G286" t="s">
        <v>14</v>
      </c>
      <c r="H286">
        <f>MONTH(Table1[[#This Row],[Date]])</f>
        <v>6</v>
      </c>
      <c r="I286" s="2">
        <f>WEEKDAY(Table1[[#This Row],[Date]])</f>
        <v>2</v>
      </c>
      <c r="J286">
        <f>Table1[[#This Row],[Credit]]-Table1[[#This Row],[Debit]]</f>
        <v>-129.9</v>
      </c>
      <c r="K286" s="7" t="str">
        <f>TEXT(Table1[[#This Row],[Date]], "mmm")</f>
        <v>Jun</v>
      </c>
    </row>
    <row r="287" spans="1:11" hidden="1" x14ac:dyDescent="0.3">
      <c r="A287" s="1">
        <v>44375</v>
      </c>
      <c r="B287" t="s">
        <v>50</v>
      </c>
      <c r="C287">
        <v>180.29999999999998</v>
      </c>
      <c r="E287" t="s">
        <v>27</v>
      </c>
      <c r="F287" t="s">
        <v>28</v>
      </c>
      <c r="G287" t="s">
        <v>14</v>
      </c>
      <c r="H287">
        <f>MONTH(Table1[[#This Row],[Date]])</f>
        <v>6</v>
      </c>
      <c r="I287" s="2">
        <f>WEEKDAY(Table1[[#This Row],[Date]])</f>
        <v>2</v>
      </c>
      <c r="J287">
        <f>Table1[[#This Row],[Credit]]-Table1[[#This Row],[Debit]]</f>
        <v>-180.29999999999998</v>
      </c>
      <c r="K287" s="7" t="str">
        <f>TEXT(Table1[[#This Row],[Date]], "mmm")</f>
        <v>Jun</v>
      </c>
    </row>
    <row r="288" spans="1:11" hidden="1" x14ac:dyDescent="0.3">
      <c r="A288" s="1">
        <v>44376</v>
      </c>
      <c r="B288" t="s">
        <v>29</v>
      </c>
      <c r="C288">
        <v>150.1</v>
      </c>
      <c r="E288" t="s">
        <v>30</v>
      </c>
      <c r="F288" t="s">
        <v>28</v>
      </c>
      <c r="G288" t="s">
        <v>14</v>
      </c>
      <c r="H288">
        <f>MONTH(Table1[[#This Row],[Date]])</f>
        <v>6</v>
      </c>
      <c r="I288" s="2">
        <f>WEEKDAY(Table1[[#This Row],[Date]])</f>
        <v>3</v>
      </c>
      <c r="J288">
        <f>Table1[[#This Row],[Credit]]-Table1[[#This Row],[Debit]]</f>
        <v>-150.1</v>
      </c>
      <c r="K288" s="7" t="str">
        <f>TEXT(Table1[[#This Row],[Date]], "mmm")</f>
        <v>Jun</v>
      </c>
    </row>
    <row r="289" spans="1:11" hidden="1" x14ac:dyDescent="0.3">
      <c r="A289" s="1">
        <v>44376</v>
      </c>
      <c r="B289" t="s">
        <v>33</v>
      </c>
      <c r="C289">
        <v>28.200000000000003</v>
      </c>
      <c r="E289" t="s">
        <v>34</v>
      </c>
      <c r="F289" t="s">
        <v>20</v>
      </c>
      <c r="G289" t="s">
        <v>14</v>
      </c>
      <c r="H289">
        <f>MONTH(Table1[[#This Row],[Date]])</f>
        <v>6</v>
      </c>
      <c r="I289" s="2">
        <f>WEEKDAY(Table1[[#This Row],[Date]])</f>
        <v>3</v>
      </c>
      <c r="J289">
        <f>Table1[[#This Row],[Credit]]-Table1[[#This Row],[Debit]]</f>
        <v>-28.200000000000003</v>
      </c>
      <c r="K289" s="7" t="str">
        <f>TEXT(Table1[[#This Row],[Date]], "mmm")</f>
        <v>Jun</v>
      </c>
    </row>
    <row r="290" spans="1:11" hidden="1" x14ac:dyDescent="0.3">
      <c r="A290" s="1">
        <v>44376</v>
      </c>
      <c r="B290" t="s">
        <v>56</v>
      </c>
      <c r="C290">
        <v>15</v>
      </c>
      <c r="E290" t="s">
        <v>32</v>
      </c>
      <c r="F290" t="s">
        <v>13</v>
      </c>
      <c r="G290" t="s">
        <v>14</v>
      </c>
      <c r="H290">
        <f>MONTH(Table1[[#This Row],[Date]])</f>
        <v>6</v>
      </c>
      <c r="I290" s="2">
        <f>WEEKDAY(Table1[[#This Row],[Date]])</f>
        <v>3</v>
      </c>
      <c r="J290">
        <f>Table1[[#This Row],[Credit]]-Table1[[#This Row],[Debit]]</f>
        <v>-15</v>
      </c>
      <c r="K290" s="7" t="str">
        <f>TEXT(Table1[[#This Row],[Date]], "mmm")</f>
        <v>Jun</v>
      </c>
    </row>
    <row r="291" spans="1:11" hidden="1" x14ac:dyDescent="0.3">
      <c r="A291" s="1">
        <v>44377</v>
      </c>
      <c r="B291" t="s">
        <v>11</v>
      </c>
      <c r="C291">
        <v>5</v>
      </c>
      <c r="E291" t="s">
        <v>12</v>
      </c>
      <c r="F291" t="s">
        <v>13</v>
      </c>
      <c r="G291" t="s">
        <v>14</v>
      </c>
      <c r="H291">
        <f>MONTH(Table1[[#This Row],[Date]])</f>
        <v>6</v>
      </c>
      <c r="I291" s="2">
        <f>WEEKDAY(Table1[[#This Row],[Date]])</f>
        <v>4</v>
      </c>
      <c r="J291">
        <f>Table1[[#This Row],[Credit]]-Table1[[#This Row],[Debit]]</f>
        <v>-5</v>
      </c>
      <c r="K291" s="7" t="str">
        <f>TEXT(Table1[[#This Row],[Date]], "mmm")</f>
        <v>Jun</v>
      </c>
    </row>
    <row r="292" spans="1:11" hidden="1" x14ac:dyDescent="0.3">
      <c r="A292" s="1">
        <v>44378</v>
      </c>
      <c r="B292" t="s">
        <v>11</v>
      </c>
      <c r="C292">
        <v>5</v>
      </c>
      <c r="E292" t="s">
        <v>12</v>
      </c>
      <c r="F292" t="s">
        <v>13</v>
      </c>
      <c r="G292" t="s">
        <v>14</v>
      </c>
      <c r="H292">
        <f>MONTH(Table1[[#This Row],[Date]])</f>
        <v>7</v>
      </c>
      <c r="I292" s="2">
        <f>WEEKDAY(Table1[[#This Row],[Date]])</f>
        <v>5</v>
      </c>
      <c r="J292">
        <f>Table1[[#This Row],[Credit]]-Table1[[#This Row],[Debit]]</f>
        <v>-5</v>
      </c>
      <c r="K292" s="7" t="str">
        <f>TEXT(Table1[[#This Row],[Date]], "mmm")</f>
        <v>Jul</v>
      </c>
    </row>
    <row r="293" spans="1:11" hidden="1" x14ac:dyDescent="0.3">
      <c r="A293" s="1">
        <v>44379</v>
      </c>
      <c r="B293" t="s">
        <v>7</v>
      </c>
      <c r="D293">
        <v>5000</v>
      </c>
      <c r="E293" t="s">
        <v>8</v>
      </c>
      <c r="F293" t="s">
        <v>9</v>
      </c>
      <c r="G293" t="s">
        <v>10</v>
      </c>
      <c r="H293">
        <f>MONTH(Table1[[#This Row],[Date]])</f>
        <v>7</v>
      </c>
      <c r="I293" s="2">
        <f>WEEKDAY(Table1[[#This Row],[Date]])</f>
        <v>6</v>
      </c>
      <c r="J293">
        <f>Table1[[#This Row],[Credit]]-Table1[[#This Row],[Debit]]</f>
        <v>5000</v>
      </c>
      <c r="K293" s="7" t="str">
        <f>TEXT(Table1[[#This Row],[Date]], "mmm")</f>
        <v>Jul</v>
      </c>
    </row>
    <row r="294" spans="1:11" hidden="1" x14ac:dyDescent="0.3">
      <c r="A294" s="1">
        <v>44380</v>
      </c>
      <c r="B294" t="s">
        <v>11</v>
      </c>
      <c r="C294">
        <v>5</v>
      </c>
      <c r="E294" t="s">
        <v>12</v>
      </c>
      <c r="F294" t="s">
        <v>13</v>
      </c>
      <c r="G294" t="s">
        <v>14</v>
      </c>
      <c r="H294">
        <f>MONTH(Table1[[#This Row],[Date]])</f>
        <v>7</v>
      </c>
      <c r="I294" s="2">
        <f>WEEKDAY(Table1[[#This Row],[Date]])</f>
        <v>7</v>
      </c>
      <c r="J294">
        <f>Table1[[#This Row],[Credit]]-Table1[[#This Row],[Debit]]</f>
        <v>-5</v>
      </c>
      <c r="K294" s="7" t="str">
        <f>TEXT(Table1[[#This Row],[Date]], "mmm")</f>
        <v>Jul</v>
      </c>
    </row>
    <row r="295" spans="1:11" hidden="1" x14ac:dyDescent="0.3">
      <c r="A295" s="1">
        <v>44382</v>
      </c>
      <c r="B295" t="s">
        <v>15</v>
      </c>
      <c r="C295">
        <v>900</v>
      </c>
      <c r="E295" t="s">
        <v>16</v>
      </c>
      <c r="F295" t="s">
        <v>17</v>
      </c>
      <c r="G295" t="s">
        <v>14</v>
      </c>
      <c r="H295">
        <f>MONTH(Table1[[#This Row],[Date]])</f>
        <v>7</v>
      </c>
      <c r="I295" s="2">
        <f>WEEKDAY(Table1[[#This Row],[Date]])</f>
        <v>2</v>
      </c>
      <c r="J295">
        <f>Table1[[#This Row],[Credit]]-Table1[[#This Row],[Debit]]</f>
        <v>-900</v>
      </c>
      <c r="K295" s="7" t="str">
        <f>TEXT(Table1[[#This Row],[Date]], "mmm")</f>
        <v>Jul</v>
      </c>
    </row>
    <row r="296" spans="1:11" hidden="1" x14ac:dyDescent="0.3">
      <c r="A296" s="1">
        <v>44382</v>
      </c>
      <c r="B296" t="s">
        <v>18</v>
      </c>
      <c r="C296">
        <v>150</v>
      </c>
      <c r="E296" t="s">
        <v>19</v>
      </c>
      <c r="F296" t="s">
        <v>20</v>
      </c>
      <c r="G296" t="s">
        <v>14</v>
      </c>
      <c r="H296">
        <f>MONTH(Table1[[#This Row],[Date]])</f>
        <v>7</v>
      </c>
      <c r="I296" s="2">
        <f>WEEKDAY(Table1[[#This Row],[Date]])</f>
        <v>2</v>
      </c>
      <c r="J296">
        <f>Table1[[#This Row],[Credit]]-Table1[[#This Row],[Debit]]</f>
        <v>-150</v>
      </c>
      <c r="K296" s="7" t="str">
        <f>TEXT(Table1[[#This Row],[Date]], "mmm")</f>
        <v>Jul</v>
      </c>
    </row>
    <row r="297" spans="1:11" hidden="1" x14ac:dyDescent="0.3">
      <c r="A297" s="1">
        <v>44382</v>
      </c>
      <c r="B297" t="s">
        <v>60</v>
      </c>
      <c r="C297">
        <v>15</v>
      </c>
      <c r="E297" t="s">
        <v>32</v>
      </c>
      <c r="F297" t="s">
        <v>13</v>
      </c>
      <c r="G297" t="s">
        <v>14</v>
      </c>
      <c r="H297">
        <f>MONTH(Table1[[#This Row],[Date]])</f>
        <v>7</v>
      </c>
      <c r="I297" s="2">
        <f>WEEKDAY(Table1[[#This Row],[Date]])</f>
        <v>2</v>
      </c>
      <c r="J297">
        <f>Table1[[#This Row],[Credit]]-Table1[[#This Row],[Debit]]</f>
        <v>-15</v>
      </c>
      <c r="K297" s="7" t="str">
        <f>TEXT(Table1[[#This Row],[Date]], "mmm")</f>
        <v>Jul</v>
      </c>
    </row>
    <row r="298" spans="1:11" hidden="1" x14ac:dyDescent="0.3">
      <c r="A298" s="1">
        <v>44382</v>
      </c>
      <c r="B298" t="s">
        <v>11</v>
      </c>
      <c r="C298">
        <v>5</v>
      </c>
      <c r="E298" t="s">
        <v>12</v>
      </c>
      <c r="F298" t="s">
        <v>13</v>
      </c>
      <c r="G298" t="s">
        <v>14</v>
      </c>
      <c r="H298">
        <f>MONTH(Table1[[#This Row],[Date]])</f>
        <v>7</v>
      </c>
      <c r="I298" s="2">
        <f>WEEKDAY(Table1[[#This Row],[Date]])</f>
        <v>2</v>
      </c>
      <c r="J298">
        <f>Table1[[#This Row],[Credit]]-Table1[[#This Row],[Debit]]</f>
        <v>-5</v>
      </c>
      <c r="K298" s="7" t="str">
        <f>TEXT(Table1[[#This Row],[Date]], "mmm")</f>
        <v>Jul</v>
      </c>
    </row>
    <row r="299" spans="1:11" hidden="1" x14ac:dyDescent="0.3">
      <c r="A299" s="1">
        <v>44383</v>
      </c>
      <c r="B299" t="s">
        <v>11</v>
      </c>
      <c r="C299">
        <v>5</v>
      </c>
      <c r="E299" t="s">
        <v>12</v>
      </c>
      <c r="F299" t="s">
        <v>13</v>
      </c>
      <c r="G299" t="s">
        <v>14</v>
      </c>
      <c r="H299">
        <f>MONTH(Table1[[#This Row],[Date]])</f>
        <v>7</v>
      </c>
      <c r="I299" s="2">
        <f>WEEKDAY(Table1[[#This Row],[Date]])</f>
        <v>3</v>
      </c>
      <c r="J299">
        <f>Table1[[#This Row],[Credit]]-Table1[[#This Row],[Debit]]</f>
        <v>-5</v>
      </c>
      <c r="K299" s="7" t="str">
        <f>TEXT(Table1[[#This Row],[Date]], "mmm")</f>
        <v>Jul</v>
      </c>
    </row>
    <row r="300" spans="1:11" hidden="1" x14ac:dyDescent="0.3">
      <c r="A300" s="1">
        <v>44384</v>
      </c>
      <c r="B300" t="s">
        <v>11</v>
      </c>
      <c r="C300">
        <v>5</v>
      </c>
      <c r="E300" t="s">
        <v>12</v>
      </c>
      <c r="F300" t="s">
        <v>13</v>
      </c>
      <c r="G300" t="s">
        <v>14</v>
      </c>
      <c r="H300">
        <f>MONTH(Table1[[#This Row],[Date]])</f>
        <v>7</v>
      </c>
      <c r="I300" s="2">
        <f>WEEKDAY(Table1[[#This Row],[Date]])</f>
        <v>4</v>
      </c>
      <c r="J300">
        <f>Table1[[#This Row],[Credit]]-Table1[[#This Row],[Debit]]</f>
        <v>-5</v>
      </c>
      <c r="K300" s="7" t="str">
        <f>TEXT(Table1[[#This Row],[Date]], "mmm")</f>
        <v>Jul</v>
      </c>
    </row>
    <row r="301" spans="1:11" hidden="1" x14ac:dyDescent="0.3">
      <c r="A301" s="1">
        <v>44384</v>
      </c>
      <c r="B301" t="s">
        <v>21</v>
      </c>
      <c r="C301">
        <v>180</v>
      </c>
      <c r="E301" t="s">
        <v>22</v>
      </c>
      <c r="F301" t="s">
        <v>17</v>
      </c>
      <c r="G301" t="s">
        <v>14</v>
      </c>
      <c r="H301">
        <f>MONTH(Table1[[#This Row],[Date]])</f>
        <v>7</v>
      </c>
      <c r="I301" s="2">
        <f>WEEKDAY(Table1[[#This Row],[Date]])</f>
        <v>4</v>
      </c>
      <c r="J301">
        <f>Table1[[#This Row],[Credit]]-Table1[[#This Row],[Debit]]</f>
        <v>-180</v>
      </c>
      <c r="K301" s="7" t="str">
        <f>TEXT(Table1[[#This Row],[Date]], "mmm")</f>
        <v>Jul</v>
      </c>
    </row>
    <row r="302" spans="1:11" hidden="1" x14ac:dyDescent="0.3">
      <c r="A302" s="1">
        <v>44387</v>
      </c>
      <c r="B302" t="s">
        <v>23</v>
      </c>
      <c r="C302">
        <v>56.1</v>
      </c>
      <c r="E302" t="s">
        <v>24</v>
      </c>
      <c r="F302" t="s">
        <v>17</v>
      </c>
      <c r="G302" t="s">
        <v>14</v>
      </c>
      <c r="H302">
        <f>MONTH(Table1[[#This Row],[Date]])</f>
        <v>7</v>
      </c>
      <c r="I302" s="2">
        <f>WEEKDAY(Table1[[#This Row],[Date]])</f>
        <v>7</v>
      </c>
      <c r="J302">
        <f>Table1[[#This Row],[Credit]]-Table1[[#This Row],[Debit]]</f>
        <v>-56.1</v>
      </c>
      <c r="K302" s="7" t="str">
        <f>TEXT(Table1[[#This Row],[Date]], "mmm")</f>
        <v>Jul</v>
      </c>
    </row>
    <row r="303" spans="1:11" hidden="1" x14ac:dyDescent="0.3">
      <c r="A303" s="1">
        <v>44387</v>
      </c>
      <c r="B303" t="s">
        <v>11</v>
      </c>
      <c r="C303">
        <v>5</v>
      </c>
      <c r="E303" t="s">
        <v>12</v>
      </c>
      <c r="F303" t="s">
        <v>13</v>
      </c>
      <c r="G303" t="s">
        <v>14</v>
      </c>
      <c r="H303">
        <f>MONTH(Table1[[#This Row],[Date]])</f>
        <v>7</v>
      </c>
      <c r="I303" s="2">
        <f>WEEKDAY(Table1[[#This Row],[Date]])</f>
        <v>7</v>
      </c>
      <c r="J303">
        <f>Table1[[#This Row],[Credit]]-Table1[[#This Row],[Debit]]</f>
        <v>-5</v>
      </c>
      <c r="K303" s="7" t="str">
        <f>TEXT(Table1[[#This Row],[Date]], "mmm")</f>
        <v>Jul</v>
      </c>
    </row>
    <row r="304" spans="1:11" hidden="1" x14ac:dyDescent="0.3">
      <c r="A304" s="1">
        <v>44388</v>
      </c>
      <c r="B304" t="s">
        <v>11</v>
      </c>
      <c r="C304">
        <v>5</v>
      </c>
      <c r="E304" t="s">
        <v>12</v>
      </c>
      <c r="F304" t="s">
        <v>13</v>
      </c>
      <c r="G304" t="s">
        <v>14</v>
      </c>
      <c r="H304">
        <f>MONTH(Table1[[#This Row],[Date]])</f>
        <v>7</v>
      </c>
      <c r="I304" s="2">
        <f>WEEKDAY(Table1[[#This Row],[Date]])</f>
        <v>1</v>
      </c>
      <c r="J304">
        <f>Table1[[#This Row],[Credit]]-Table1[[#This Row],[Debit]]</f>
        <v>-5</v>
      </c>
      <c r="K304" s="7" t="str">
        <f>TEXT(Table1[[#This Row],[Date]], "mmm")</f>
        <v>Jul</v>
      </c>
    </row>
    <row r="305" spans="1:11" hidden="1" x14ac:dyDescent="0.3">
      <c r="A305" s="1">
        <v>44389</v>
      </c>
      <c r="B305" t="s">
        <v>25</v>
      </c>
      <c r="C305">
        <v>83.1</v>
      </c>
      <c r="E305" t="s">
        <v>48</v>
      </c>
      <c r="F305" t="s">
        <v>20</v>
      </c>
      <c r="G305" t="s">
        <v>14</v>
      </c>
      <c r="H305">
        <f>MONTH(Table1[[#This Row],[Date]])</f>
        <v>7</v>
      </c>
      <c r="I305" s="2">
        <f>WEEKDAY(Table1[[#This Row],[Date]])</f>
        <v>2</v>
      </c>
      <c r="J305">
        <f>Table1[[#This Row],[Credit]]-Table1[[#This Row],[Debit]]</f>
        <v>-83.1</v>
      </c>
      <c r="K305" s="7" t="str">
        <f>TEXT(Table1[[#This Row],[Date]], "mmm")</f>
        <v>Jul</v>
      </c>
    </row>
    <row r="306" spans="1:11" hidden="1" x14ac:dyDescent="0.3">
      <c r="A306" s="1">
        <v>44389</v>
      </c>
      <c r="B306" t="s">
        <v>11</v>
      </c>
      <c r="C306">
        <v>5</v>
      </c>
      <c r="E306" t="s">
        <v>12</v>
      </c>
      <c r="F306" t="s">
        <v>13</v>
      </c>
      <c r="G306" t="s">
        <v>14</v>
      </c>
      <c r="H306">
        <f>MONTH(Table1[[#This Row],[Date]])</f>
        <v>7</v>
      </c>
      <c r="I306" s="2">
        <f>WEEKDAY(Table1[[#This Row],[Date]])</f>
        <v>2</v>
      </c>
      <c r="J306">
        <f>Table1[[#This Row],[Credit]]-Table1[[#This Row],[Debit]]</f>
        <v>-5</v>
      </c>
      <c r="K306" s="7" t="str">
        <f>TEXT(Table1[[#This Row],[Date]], "mmm")</f>
        <v>Jul</v>
      </c>
    </row>
    <row r="307" spans="1:11" hidden="1" x14ac:dyDescent="0.3">
      <c r="A307" s="1">
        <v>44390</v>
      </c>
      <c r="B307" t="s">
        <v>11</v>
      </c>
      <c r="C307">
        <v>5</v>
      </c>
      <c r="E307" t="s">
        <v>12</v>
      </c>
      <c r="F307" t="s">
        <v>13</v>
      </c>
      <c r="G307" t="s">
        <v>14</v>
      </c>
      <c r="H307">
        <f>MONTH(Table1[[#This Row],[Date]])</f>
        <v>7</v>
      </c>
      <c r="I307" s="2">
        <f>WEEKDAY(Table1[[#This Row],[Date]])</f>
        <v>3</v>
      </c>
      <c r="J307">
        <f>Table1[[#This Row],[Credit]]-Table1[[#This Row],[Debit]]</f>
        <v>-5</v>
      </c>
      <c r="K307" s="7" t="str">
        <f>TEXT(Table1[[#This Row],[Date]], "mmm")</f>
        <v>Jul</v>
      </c>
    </row>
    <row r="308" spans="1:11" hidden="1" x14ac:dyDescent="0.3">
      <c r="A308" s="1">
        <v>44391</v>
      </c>
      <c r="B308" t="s">
        <v>21</v>
      </c>
      <c r="C308">
        <v>141.1</v>
      </c>
      <c r="E308" t="s">
        <v>22</v>
      </c>
      <c r="F308" t="s">
        <v>17</v>
      </c>
      <c r="G308" t="s">
        <v>14</v>
      </c>
      <c r="H308">
        <f>MONTH(Table1[[#This Row],[Date]])</f>
        <v>7</v>
      </c>
      <c r="I308" s="2">
        <f>WEEKDAY(Table1[[#This Row],[Date]])</f>
        <v>4</v>
      </c>
      <c r="J308">
        <f>Table1[[#This Row],[Credit]]-Table1[[#This Row],[Debit]]</f>
        <v>-141.1</v>
      </c>
      <c r="K308" s="7" t="str">
        <f>TEXT(Table1[[#This Row],[Date]], "mmm")</f>
        <v>Jul</v>
      </c>
    </row>
    <row r="309" spans="1:11" hidden="1" x14ac:dyDescent="0.3">
      <c r="A309" s="1">
        <v>44391</v>
      </c>
      <c r="B309" t="s">
        <v>11</v>
      </c>
      <c r="C309">
        <v>5</v>
      </c>
      <c r="E309" t="s">
        <v>12</v>
      </c>
      <c r="F309" t="s">
        <v>13</v>
      </c>
      <c r="G309" t="s">
        <v>14</v>
      </c>
      <c r="H309">
        <f>MONTH(Table1[[#This Row],[Date]])</f>
        <v>7</v>
      </c>
      <c r="I309" s="2">
        <f>WEEKDAY(Table1[[#This Row],[Date]])</f>
        <v>4</v>
      </c>
      <c r="J309">
        <f>Table1[[#This Row],[Credit]]-Table1[[#This Row],[Debit]]</f>
        <v>-5</v>
      </c>
      <c r="K309" s="7" t="str">
        <f>TEXT(Table1[[#This Row],[Date]], "mmm")</f>
        <v>Jul</v>
      </c>
    </row>
    <row r="310" spans="1:11" hidden="1" x14ac:dyDescent="0.3">
      <c r="A310" s="1">
        <v>44392</v>
      </c>
      <c r="B310" t="s">
        <v>11</v>
      </c>
      <c r="C310">
        <v>5</v>
      </c>
      <c r="E310" t="s">
        <v>12</v>
      </c>
      <c r="F310" t="s">
        <v>13</v>
      </c>
      <c r="G310" t="s">
        <v>14</v>
      </c>
      <c r="H310">
        <f>MONTH(Table1[[#This Row],[Date]])</f>
        <v>7</v>
      </c>
      <c r="I310" s="2">
        <f>WEEKDAY(Table1[[#This Row],[Date]])</f>
        <v>5</v>
      </c>
      <c r="J310">
        <f>Table1[[#This Row],[Credit]]-Table1[[#This Row],[Debit]]</f>
        <v>-5</v>
      </c>
      <c r="K310" s="7" t="str">
        <f>TEXT(Table1[[#This Row],[Date]], "mmm")</f>
        <v>Jul</v>
      </c>
    </row>
    <row r="311" spans="1:11" hidden="1" x14ac:dyDescent="0.3">
      <c r="A311" s="1">
        <v>44392</v>
      </c>
      <c r="B311" t="s">
        <v>26</v>
      </c>
      <c r="C311">
        <v>45.8</v>
      </c>
      <c r="E311" t="s">
        <v>27</v>
      </c>
      <c r="F311" t="s">
        <v>28</v>
      </c>
      <c r="G311" t="s">
        <v>14</v>
      </c>
      <c r="H311">
        <f>MONTH(Table1[[#This Row],[Date]])</f>
        <v>7</v>
      </c>
      <c r="I311" s="2">
        <f>WEEKDAY(Table1[[#This Row],[Date]])</f>
        <v>5</v>
      </c>
      <c r="J311">
        <f>Table1[[#This Row],[Credit]]-Table1[[#This Row],[Debit]]</f>
        <v>-45.8</v>
      </c>
      <c r="K311" s="7" t="str">
        <f>TEXT(Table1[[#This Row],[Date]], "mmm")</f>
        <v>Jul</v>
      </c>
    </row>
    <row r="312" spans="1:11" hidden="1" x14ac:dyDescent="0.3">
      <c r="A312" s="1">
        <v>44392</v>
      </c>
      <c r="B312" t="s">
        <v>29</v>
      </c>
      <c r="C312">
        <v>103.80000000000001</v>
      </c>
      <c r="E312" t="s">
        <v>30</v>
      </c>
      <c r="F312" t="s">
        <v>28</v>
      </c>
      <c r="G312" t="s">
        <v>14</v>
      </c>
      <c r="H312">
        <f>MONTH(Table1[[#This Row],[Date]])</f>
        <v>7</v>
      </c>
      <c r="I312" s="2">
        <f>WEEKDAY(Table1[[#This Row],[Date]])</f>
        <v>5</v>
      </c>
      <c r="J312">
        <f>Table1[[#This Row],[Credit]]-Table1[[#This Row],[Debit]]</f>
        <v>-103.80000000000001</v>
      </c>
      <c r="K312" s="7" t="str">
        <f>TEXT(Table1[[#This Row],[Date]], "mmm")</f>
        <v>Jul</v>
      </c>
    </row>
    <row r="313" spans="1:11" hidden="1" x14ac:dyDescent="0.3">
      <c r="A313" s="1">
        <v>44392</v>
      </c>
      <c r="B313" t="s">
        <v>31</v>
      </c>
      <c r="C313">
        <v>58</v>
      </c>
      <c r="E313" t="s">
        <v>32</v>
      </c>
      <c r="F313" t="s">
        <v>13</v>
      </c>
      <c r="G313" t="s">
        <v>14</v>
      </c>
      <c r="H313">
        <f>MONTH(Table1[[#This Row],[Date]])</f>
        <v>7</v>
      </c>
      <c r="I313" s="2">
        <f>WEEKDAY(Table1[[#This Row],[Date]])</f>
        <v>5</v>
      </c>
      <c r="J313">
        <f>Table1[[#This Row],[Credit]]-Table1[[#This Row],[Debit]]</f>
        <v>-58</v>
      </c>
      <c r="K313" s="7" t="str">
        <f>TEXT(Table1[[#This Row],[Date]], "mmm")</f>
        <v>Jul</v>
      </c>
    </row>
    <row r="314" spans="1:11" hidden="1" x14ac:dyDescent="0.3">
      <c r="A314" s="1">
        <v>44393</v>
      </c>
      <c r="B314" t="s">
        <v>33</v>
      </c>
      <c r="C314">
        <v>34.200000000000003</v>
      </c>
      <c r="E314" t="s">
        <v>34</v>
      </c>
      <c r="F314" t="s">
        <v>20</v>
      </c>
      <c r="G314" t="s">
        <v>14</v>
      </c>
      <c r="H314">
        <f>MONTH(Table1[[#This Row],[Date]])</f>
        <v>7</v>
      </c>
      <c r="I314" s="2">
        <f>WEEKDAY(Table1[[#This Row],[Date]])</f>
        <v>6</v>
      </c>
      <c r="J314">
        <f>Table1[[#This Row],[Credit]]-Table1[[#This Row],[Debit]]</f>
        <v>-34.200000000000003</v>
      </c>
      <c r="K314" s="7" t="str">
        <f>TEXT(Table1[[#This Row],[Date]], "mmm")</f>
        <v>Jul</v>
      </c>
    </row>
    <row r="315" spans="1:11" hidden="1" x14ac:dyDescent="0.3">
      <c r="A315" s="1">
        <v>44394</v>
      </c>
      <c r="B315" t="s">
        <v>35</v>
      </c>
      <c r="D315">
        <v>200</v>
      </c>
      <c r="E315" t="s">
        <v>36</v>
      </c>
      <c r="F315" t="s">
        <v>37</v>
      </c>
      <c r="G315" t="s">
        <v>10</v>
      </c>
      <c r="H315">
        <f>MONTH(Table1[[#This Row],[Date]])</f>
        <v>7</v>
      </c>
      <c r="I315" s="2">
        <f>WEEKDAY(Table1[[#This Row],[Date]])</f>
        <v>7</v>
      </c>
      <c r="J315">
        <f>Table1[[#This Row],[Credit]]-Table1[[#This Row],[Debit]]</f>
        <v>200</v>
      </c>
      <c r="K315" s="7" t="str">
        <f>TEXT(Table1[[#This Row],[Date]], "mmm")</f>
        <v>Jul</v>
      </c>
    </row>
    <row r="316" spans="1:11" hidden="1" x14ac:dyDescent="0.3">
      <c r="A316" s="1">
        <v>44394</v>
      </c>
      <c r="B316" t="s">
        <v>11</v>
      </c>
      <c r="C316">
        <v>5</v>
      </c>
      <c r="E316" t="s">
        <v>12</v>
      </c>
      <c r="F316" t="s">
        <v>13</v>
      </c>
      <c r="G316" t="s">
        <v>14</v>
      </c>
      <c r="H316">
        <f>MONTH(Table1[[#This Row],[Date]])</f>
        <v>7</v>
      </c>
      <c r="I316" s="2">
        <f>WEEKDAY(Table1[[#This Row],[Date]])</f>
        <v>7</v>
      </c>
      <c r="J316">
        <f>Table1[[#This Row],[Credit]]-Table1[[#This Row],[Debit]]</f>
        <v>-5</v>
      </c>
      <c r="K316" s="7" t="str">
        <f>TEXT(Table1[[#This Row],[Date]], "mmm")</f>
        <v>Jul</v>
      </c>
    </row>
    <row r="317" spans="1:11" hidden="1" x14ac:dyDescent="0.3">
      <c r="A317" s="1">
        <v>44395</v>
      </c>
      <c r="B317" t="s">
        <v>11</v>
      </c>
      <c r="C317">
        <v>5</v>
      </c>
      <c r="E317" t="s">
        <v>12</v>
      </c>
      <c r="F317" t="s">
        <v>13</v>
      </c>
      <c r="G317" t="s">
        <v>14</v>
      </c>
      <c r="H317">
        <f>MONTH(Table1[[#This Row],[Date]])</f>
        <v>7</v>
      </c>
      <c r="I317" s="2">
        <f>WEEKDAY(Table1[[#This Row],[Date]])</f>
        <v>1</v>
      </c>
      <c r="J317">
        <f>Table1[[#This Row],[Credit]]-Table1[[#This Row],[Debit]]</f>
        <v>-5</v>
      </c>
      <c r="K317" s="7" t="str">
        <f>TEXT(Table1[[#This Row],[Date]], "mmm")</f>
        <v>Jul</v>
      </c>
    </row>
    <row r="318" spans="1:11" hidden="1" x14ac:dyDescent="0.3">
      <c r="A318" s="1">
        <v>44395</v>
      </c>
      <c r="B318" t="s">
        <v>39</v>
      </c>
      <c r="C318">
        <v>40</v>
      </c>
      <c r="E318" t="s">
        <v>39</v>
      </c>
      <c r="F318" t="s">
        <v>17</v>
      </c>
      <c r="G318" t="s">
        <v>14</v>
      </c>
      <c r="H318">
        <f>MONTH(Table1[[#This Row],[Date]])</f>
        <v>7</v>
      </c>
      <c r="I318" s="2">
        <f>WEEKDAY(Table1[[#This Row],[Date]])</f>
        <v>1</v>
      </c>
      <c r="J318">
        <f>Table1[[#This Row],[Credit]]-Table1[[#This Row],[Debit]]</f>
        <v>-40</v>
      </c>
      <c r="K318" s="7" t="str">
        <f>TEXT(Table1[[#This Row],[Date]], "mmm")</f>
        <v>Jul</v>
      </c>
    </row>
    <row r="319" spans="1:11" hidden="1" x14ac:dyDescent="0.3">
      <c r="A319" s="1">
        <v>44396</v>
      </c>
      <c r="B319" t="s">
        <v>40</v>
      </c>
      <c r="C319">
        <v>51.1</v>
      </c>
      <c r="E319" t="s">
        <v>41</v>
      </c>
      <c r="F319" t="s">
        <v>28</v>
      </c>
      <c r="G319" t="s">
        <v>14</v>
      </c>
      <c r="H319">
        <f>MONTH(Table1[[#This Row],[Date]])</f>
        <v>7</v>
      </c>
      <c r="I319" s="2">
        <f>WEEKDAY(Table1[[#This Row],[Date]])</f>
        <v>2</v>
      </c>
      <c r="J319">
        <f>Table1[[#This Row],[Credit]]-Table1[[#This Row],[Debit]]</f>
        <v>-51.1</v>
      </c>
      <c r="K319" s="7" t="str">
        <f>TEXT(Table1[[#This Row],[Date]], "mmm")</f>
        <v>Jul</v>
      </c>
    </row>
    <row r="320" spans="1:11" hidden="1" x14ac:dyDescent="0.3">
      <c r="A320" s="1">
        <v>44396</v>
      </c>
      <c r="B320" t="s">
        <v>42</v>
      </c>
      <c r="C320">
        <v>35</v>
      </c>
      <c r="E320" t="s">
        <v>27</v>
      </c>
      <c r="F320" t="s">
        <v>28</v>
      </c>
      <c r="G320" t="s">
        <v>14</v>
      </c>
      <c r="H320">
        <f>MONTH(Table1[[#This Row],[Date]])</f>
        <v>7</v>
      </c>
      <c r="I320" s="2">
        <f>WEEKDAY(Table1[[#This Row],[Date]])</f>
        <v>2</v>
      </c>
      <c r="J320">
        <f>Table1[[#This Row],[Credit]]-Table1[[#This Row],[Debit]]</f>
        <v>-35</v>
      </c>
      <c r="K320" s="7" t="str">
        <f>TEXT(Table1[[#This Row],[Date]], "mmm")</f>
        <v>Jul</v>
      </c>
    </row>
    <row r="321" spans="1:11" hidden="1" x14ac:dyDescent="0.3">
      <c r="A321" s="1">
        <v>44396</v>
      </c>
      <c r="B321" t="s">
        <v>11</v>
      </c>
      <c r="C321">
        <v>5</v>
      </c>
      <c r="E321" t="s">
        <v>12</v>
      </c>
      <c r="F321" t="s">
        <v>13</v>
      </c>
      <c r="G321" t="s">
        <v>14</v>
      </c>
      <c r="H321">
        <f>MONTH(Table1[[#This Row],[Date]])</f>
        <v>7</v>
      </c>
      <c r="I321" s="2">
        <f>WEEKDAY(Table1[[#This Row],[Date]])</f>
        <v>2</v>
      </c>
      <c r="J321">
        <f>Table1[[#This Row],[Credit]]-Table1[[#This Row],[Debit]]</f>
        <v>-5</v>
      </c>
      <c r="K321" s="7" t="str">
        <f>TEXT(Table1[[#This Row],[Date]], "mmm")</f>
        <v>Jul</v>
      </c>
    </row>
    <row r="322" spans="1:11" hidden="1" x14ac:dyDescent="0.3">
      <c r="A322" s="1">
        <v>44397</v>
      </c>
      <c r="B322" t="s">
        <v>11</v>
      </c>
      <c r="C322">
        <v>5</v>
      </c>
      <c r="E322" t="s">
        <v>12</v>
      </c>
      <c r="F322" t="s">
        <v>13</v>
      </c>
      <c r="G322" t="s">
        <v>14</v>
      </c>
      <c r="H322">
        <f>MONTH(Table1[[#This Row],[Date]])</f>
        <v>7</v>
      </c>
      <c r="I322" s="2">
        <f>WEEKDAY(Table1[[#This Row],[Date]])</f>
        <v>3</v>
      </c>
      <c r="J322">
        <f>Table1[[#This Row],[Credit]]-Table1[[#This Row],[Debit]]</f>
        <v>-5</v>
      </c>
      <c r="K322" s="7" t="str">
        <f>TEXT(Table1[[#This Row],[Date]], "mmm")</f>
        <v>Jul</v>
      </c>
    </row>
    <row r="323" spans="1:11" hidden="1" x14ac:dyDescent="0.3">
      <c r="A323" s="1">
        <v>44398</v>
      </c>
      <c r="B323" t="s">
        <v>11</v>
      </c>
      <c r="C323">
        <v>5</v>
      </c>
      <c r="E323" t="s">
        <v>12</v>
      </c>
      <c r="F323" t="s">
        <v>13</v>
      </c>
      <c r="G323" t="s">
        <v>14</v>
      </c>
      <c r="H323">
        <f>MONTH(Table1[[#This Row],[Date]])</f>
        <v>7</v>
      </c>
      <c r="I323" s="2">
        <f>WEEKDAY(Table1[[#This Row],[Date]])</f>
        <v>4</v>
      </c>
      <c r="J323">
        <f>Table1[[#This Row],[Credit]]-Table1[[#This Row],[Debit]]</f>
        <v>-5</v>
      </c>
      <c r="K323" s="7" t="str">
        <f>TEXT(Table1[[#This Row],[Date]], "mmm")</f>
        <v>Jul</v>
      </c>
    </row>
    <row r="324" spans="1:11" hidden="1" x14ac:dyDescent="0.3">
      <c r="A324" s="1">
        <v>44398</v>
      </c>
      <c r="B324" t="s">
        <v>21</v>
      </c>
      <c r="C324">
        <v>176</v>
      </c>
      <c r="E324" t="s">
        <v>22</v>
      </c>
      <c r="F324" t="s">
        <v>17</v>
      </c>
      <c r="G324" t="s">
        <v>14</v>
      </c>
      <c r="H324">
        <f>MONTH(Table1[[#This Row],[Date]])</f>
        <v>7</v>
      </c>
      <c r="I324" s="2">
        <f>WEEKDAY(Table1[[#This Row],[Date]])</f>
        <v>4</v>
      </c>
      <c r="J324">
        <f>Table1[[#This Row],[Credit]]-Table1[[#This Row],[Debit]]</f>
        <v>-176</v>
      </c>
      <c r="K324" s="7" t="str">
        <f>TEXT(Table1[[#This Row],[Date]], "mmm")</f>
        <v>Jul</v>
      </c>
    </row>
    <row r="325" spans="1:11" hidden="1" x14ac:dyDescent="0.3">
      <c r="A325" s="1">
        <v>44399</v>
      </c>
      <c r="B325" t="s">
        <v>43</v>
      </c>
      <c r="C325">
        <v>43.1</v>
      </c>
      <c r="E325" t="s">
        <v>32</v>
      </c>
      <c r="F325" t="s">
        <v>13</v>
      </c>
      <c r="G325" t="s">
        <v>14</v>
      </c>
      <c r="H325">
        <f>MONTH(Table1[[#This Row],[Date]])</f>
        <v>7</v>
      </c>
      <c r="I325" s="2">
        <f>WEEKDAY(Table1[[#This Row],[Date]])</f>
        <v>5</v>
      </c>
      <c r="J325">
        <f>Table1[[#This Row],[Credit]]-Table1[[#This Row],[Debit]]</f>
        <v>-43.1</v>
      </c>
      <c r="K325" s="7" t="str">
        <f>TEXT(Table1[[#This Row],[Date]], "mmm")</f>
        <v>Jul</v>
      </c>
    </row>
    <row r="326" spans="1:11" hidden="1" x14ac:dyDescent="0.3">
      <c r="A326" s="1">
        <v>44400</v>
      </c>
      <c r="B326" t="s">
        <v>44</v>
      </c>
      <c r="C326">
        <v>18.2</v>
      </c>
      <c r="E326" t="s">
        <v>32</v>
      </c>
      <c r="F326" t="s">
        <v>13</v>
      </c>
      <c r="G326" t="s">
        <v>14</v>
      </c>
      <c r="H326">
        <f>MONTH(Table1[[#This Row],[Date]])</f>
        <v>7</v>
      </c>
      <c r="I326" s="2">
        <f>WEEKDAY(Table1[[#This Row],[Date]])</f>
        <v>6</v>
      </c>
      <c r="J326">
        <f>Table1[[#This Row],[Credit]]-Table1[[#This Row],[Debit]]</f>
        <v>-18.2</v>
      </c>
      <c r="K326" s="7" t="str">
        <f>TEXT(Table1[[#This Row],[Date]], "mmm")</f>
        <v>Jul</v>
      </c>
    </row>
    <row r="327" spans="1:11" hidden="1" x14ac:dyDescent="0.3">
      <c r="A327" s="1">
        <v>44401</v>
      </c>
      <c r="B327" t="s">
        <v>45</v>
      </c>
      <c r="C327">
        <v>55</v>
      </c>
      <c r="E327" t="s">
        <v>46</v>
      </c>
      <c r="F327" t="s">
        <v>47</v>
      </c>
      <c r="G327" t="s">
        <v>14</v>
      </c>
      <c r="H327">
        <f>MONTH(Table1[[#This Row],[Date]])</f>
        <v>7</v>
      </c>
      <c r="I327" s="2">
        <f>WEEKDAY(Table1[[#This Row],[Date]])</f>
        <v>7</v>
      </c>
      <c r="J327">
        <f>Table1[[#This Row],[Credit]]-Table1[[#This Row],[Debit]]</f>
        <v>-55</v>
      </c>
      <c r="K327" s="7" t="str">
        <f>TEXT(Table1[[#This Row],[Date]], "mmm")</f>
        <v>Jul</v>
      </c>
    </row>
    <row r="328" spans="1:11" hidden="1" x14ac:dyDescent="0.3">
      <c r="A328" s="1">
        <v>44401</v>
      </c>
      <c r="B328" t="s">
        <v>25</v>
      </c>
      <c r="C328">
        <v>68.800000000000011</v>
      </c>
      <c r="E328" t="s">
        <v>48</v>
      </c>
      <c r="F328" t="s">
        <v>20</v>
      </c>
      <c r="G328" t="s">
        <v>14</v>
      </c>
      <c r="H328">
        <f>MONTH(Table1[[#This Row],[Date]])</f>
        <v>7</v>
      </c>
      <c r="I328" s="2">
        <f>WEEKDAY(Table1[[#This Row],[Date]])</f>
        <v>7</v>
      </c>
      <c r="J328">
        <f>Table1[[#This Row],[Credit]]-Table1[[#This Row],[Debit]]</f>
        <v>-68.800000000000011</v>
      </c>
      <c r="K328" s="7" t="str">
        <f>TEXT(Table1[[#This Row],[Date]], "mmm")</f>
        <v>Jul</v>
      </c>
    </row>
    <row r="329" spans="1:11" hidden="1" x14ac:dyDescent="0.3">
      <c r="A329" s="1">
        <v>44401</v>
      </c>
      <c r="B329" t="s">
        <v>11</v>
      </c>
      <c r="C329">
        <v>5</v>
      </c>
      <c r="E329" t="s">
        <v>12</v>
      </c>
      <c r="F329" t="s">
        <v>13</v>
      </c>
      <c r="G329" t="s">
        <v>14</v>
      </c>
      <c r="H329">
        <f>MONTH(Table1[[#This Row],[Date]])</f>
        <v>7</v>
      </c>
      <c r="I329" s="2">
        <f>WEEKDAY(Table1[[#This Row],[Date]])</f>
        <v>7</v>
      </c>
      <c r="J329">
        <f>Table1[[#This Row],[Credit]]-Table1[[#This Row],[Debit]]</f>
        <v>-5</v>
      </c>
      <c r="K329" s="7" t="str">
        <f>TEXT(Table1[[#This Row],[Date]], "mmm")</f>
        <v>Jul</v>
      </c>
    </row>
    <row r="330" spans="1:11" hidden="1" x14ac:dyDescent="0.3">
      <c r="A330" s="1">
        <v>44402</v>
      </c>
      <c r="B330" t="s">
        <v>11</v>
      </c>
      <c r="C330">
        <v>5</v>
      </c>
      <c r="E330" t="s">
        <v>12</v>
      </c>
      <c r="F330" t="s">
        <v>13</v>
      </c>
      <c r="G330" t="s">
        <v>14</v>
      </c>
      <c r="H330">
        <f>MONTH(Table1[[#This Row],[Date]])</f>
        <v>7</v>
      </c>
      <c r="I330" s="2">
        <f>WEEKDAY(Table1[[#This Row],[Date]])</f>
        <v>1</v>
      </c>
      <c r="J330">
        <f>Table1[[#This Row],[Credit]]-Table1[[#This Row],[Debit]]</f>
        <v>-5</v>
      </c>
      <c r="K330" s="7" t="str">
        <f>TEXT(Table1[[#This Row],[Date]], "mmm")</f>
        <v>Jul</v>
      </c>
    </row>
    <row r="331" spans="1:11" hidden="1" x14ac:dyDescent="0.3">
      <c r="A331" s="1">
        <v>44403</v>
      </c>
      <c r="B331" t="s">
        <v>11</v>
      </c>
      <c r="C331">
        <v>5</v>
      </c>
      <c r="E331" t="s">
        <v>12</v>
      </c>
      <c r="F331" t="s">
        <v>13</v>
      </c>
      <c r="G331" t="s">
        <v>14</v>
      </c>
      <c r="H331">
        <f>MONTH(Table1[[#This Row],[Date]])</f>
        <v>7</v>
      </c>
      <c r="I331" s="2">
        <f>WEEKDAY(Table1[[#This Row],[Date]])</f>
        <v>2</v>
      </c>
      <c r="J331">
        <f>Table1[[#This Row],[Credit]]-Table1[[#This Row],[Debit]]</f>
        <v>-5</v>
      </c>
      <c r="K331" s="7" t="str">
        <f>TEXT(Table1[[#This Row],[Date]], "mmm")</f>
        <v>Jul</v>
      </c>
    </row>
    <row r="332" spans="1:11" hidden="1" x14ac:dyDescent="0.3">
      <c r="A332" s="1">
        <v>44404</v>
      </c>
      <c r="B332" t="s">
        <v>11</v>
      </c>
      <c r="C332">
        <v>5</v>
      </c>
      <c r="E332" t="s">
        <v>12</v>
      </c>
      <c r="F332" t="s">
        <v>13</v>
      </c>
      <c r="G332" t="s">
        <v>14</v>
      </c>
      <c r="H332">
        <f>MONTH(Table1[[#This Row],[Date]])</f>
        <v>7</v>
      </c>
      <c r="I332" s="2">
        <f>WEEKDAY(Table1[[#This Row],[Date]])</f>
        <v>3</v>
      </c>
      <c r="J332">
        <f>Table1[[#This Row],[Credit]]-Table1[[#This Row],[Debit]]</f>
        <v>-5</v>
      </c>
      <c r="K332" s="7" t="str">
        <f>TEXT(Table1[[#This Row],[Date]], "mmm")</f>
        <v>Jul</v>
      </c>
    </row>
    <row r="333" spans="1:11" hidden="1" x14ac:dyDescent="0.3">
      <c r="A333" s="1">
        <v>44405</v>
      </c>
      <c r="B333" t="s">
        <v>11</v>
      </c>
      <c r="C333">
        <v>5</v>
      </c>
      <c r="E333" t="s">
        <v>12</v>
      </c>
      <c r="F333" t="s">
        <v>13</v>
      </c>
      <c r="G333" t="s">
        <v>14</v>
      </c>
      <c r="H333">
        <f>MONTH(Table1[[#This Row],[Date]])</f>
        <v>7</v>
      </c>
      <c r="I333" s="2">
        <f>WEEKDAY(Table1[[#This Row],[Date]])</f>
        <v>4</v>
      </c>
      <c r="J333">
        <f>Table1[[#This Row],[Credit]]-Table1[[#This Row],[Debit]]</f>
        <v>-5</v>
      </c>
      <c r="K333" s="7" t="str">
        <f>TEXT(Table1[[#This Row],[Date]], "mmm")</f>
        <v>Jul</v>
      </c>
    </row>
    <row r="334" spans="1:11" hidden="1" x14ac:dyDescent="0.3">
      <c r="A334" s="1">
        <v>44405</v>
      </c>
      <c r="B334" t="s">
        <v>21</v>
      </c>
      <c r="C334">
        <v>193</v>
      </c>
      <c r="E334" t="s">
        <v>22</v>
      </c>
      <c r="F334" t="s">
        <v>17</v>
      </c>
      <c r="G334" t="s">
        <v>14</v>
      </c>
      <c r="H334">
        <f>MONTH(Table1[[#This Row],[Date]])</f>
        <v>7</v>
      </c>
      <c r="I334" s="2">
        <f>WEEKDAY(Table1[[#This Row],[Date]])</f>
        <v>4</v>
      </c>
      <c r="J334">
        <f>Table1[[#This Row],[Credit]]-Table1[[#This Row],[Debit]]</f>
        <v>-193</v>
      </c>
      <c r="K334" s="7" t="str">
        <f>TEXT(Table1[[#This Row],[Date]], "mmm")</f>
        <v>Jul</v>
      </c>
    </row>
    <row r="335" spans="1:11" hidden="1" x14ac:dyDescent="0.3">
      <c r="A335" s="1">
        <v>44406</v>
      </c>
      <c r="B335" t="s">
        <v>49</v>
      </c>
      <c r="C335">
        <v>130.80000000000001</v>
      </c>
      <c r="E335" t="s">
        <v>30</v>
      </c>
      <c r="F335" t="s">
        <v>28</v>
      </c>
      <c r="G335" t="s">
        <v>14</v>
      </c>
      <c r="H335">
        <f>MONTH(Table1[[#This Row],[Date]])</f>
        <v>7</v>
      </c>
      <c r="I335" s="2">
        <f>WEEKDAY(Table1[[#This Row],[Date]])</f>
        <v>5</v>
      </c>
      <c r="J335">
        <f>Table1[[#This Row],[Credit]]-Table1[[#This Row],[Debit]]</f>
        <v>-130.80000000000001</v>
      </c>
      <c r="K335" s="7" t="str">
        <f>TEXT(Table1[[#This Row],[Date]], "mmm")</f>
        <v>Jul</v>
      </c>
    </row>
    <row r="336" spans="1:11" hidden="1" x14ac:dyDescent="0.3">
      <c r="A336" s="1">
        <v>44406</v>
      </c>
      <c r="B336" t="s">
        <v>58</v>
      </c>
      <c r="C336">
        <v>181.39999999999998</v>
      </c>
      <c r="E336" t="s">
        <v>59</v>
      </c>
      <c r="F336" t="s">
        <v>28</v>
      </c>
      <c r="G336" t="s">
        <v>14</v>
      </c>
      <c r="H336">
        <f>MONTH(Table1[[#This Row],[Date]])</f>
        <v>7</v>
      </c>
      <c r="I336" s="2">
        <f>WEEKDAY(Table1[[#This Row],[Date]])</f>
        <v>5</v>
      </c>
      <c r="J336">
        <f>Table1[[#This Row],[Credit]]-Table1[[#This Row],[Debit]]</f>
        <v>-181.39999999999998</v>
      </c>
      <c r="K336" s="7" t="str">
        <f>TEXT(Table1[[#This Row],[Date]], "mmm")</f>
        <v>Jul</v>
      </c>
    </row>
    <row r="337" spans="1:11" hidden="1" x14ac:dyDescent="0.3">
      <c r="A337" s="1">
        <v>44407</v>
      </c>
      <c r="B337" t="s">
        <v>29</v>
      </c>
      <c r="C337">
        <v>151.19999999999999</v>
      </c>
      <c r="E337" t="s">
        <v>30</v>
      </c>
      <c r="F337" t="s">
        <v>28</v>
      </c>
      <c r="G337" t="s">
        <v>14</v>
      </c>
      <c r="H337">
        <f>MONTH(Table1[[#This Row],[Date]])</f>
        <v>7</v>
      </c>
      <c r="I337" s="2">
        <f>WEEKDAY(Table1[[#This Row],[Date]])</f>
        <v>6</v>
      </c>
      <c r="J337">
        <f>Table1[[#This Row],[Credit]]-Table1[[#This Row],[Debit]]</f>
        <v>-151.19999999999999</v>
      </c>
      <c r="K337" s="7" t="str">
        <f>TEXT(Table1[[#This Row],[Date]], "mmm")</f>
        <v>Jul</v>
      </c>
    </row>
    <row r="338" spans="1:11" hidden="1" x14ac:dyDescent="0.3">
      <c r="A338" s="1">
        <v>44407</v>
      </c>
      <c r="B338" t="s">
        <v>33</v>
      </c>
      <c r="C338">
        <v>29.300000000000004</v>
      </c>
      <c r="E338" t="s">
        <v>34</v>
      </c>
      <c r="F338" t="s">
        <v>20</v>
      </c>
      <c r="G338" t="s">
        <v>14</v>
      </c>
      <c r="H338">
        <f>MONTH(Table1[[#This Row],[Date]])</f>
        <v>7</v>
      </c>
      <c r="I338" s="2">
        <f>WEEKDAY(Table1[[#This Row],[Date]])</f>
        <v>6</v>
      </c>
      <c r="J338">
        <f>Table1[[#This Row],[Credit]]-Table1[[#This Row],[Debit]]</f>
        <v>-29.300000000000004</v>
      </c>
      <c r="K338" s="7" t="str">
        <f>TEXT(Table1[[#This Row],[Date]], "mmm")</f>
        <v>Jul</v>
      </c>
    </row>
    <row r="339" spans="1:11" hidden="1" x14ac:dyDescent="0.3">
      <c r="A339" s="1">
        <v>44407</v>
      </c>
      <c r="B339" t="s">
        <v>56</v>
      </c>
      <c r="C339">
        <v>15</v>
      </c>
      <c r="E339" t="s">
        <v>32</v>
      </c>
      <c r="F339" t="s">
        <v>13</v>
      </c>
      <c r="G339" t="s">
        <v>14</v>
      </c>
      <c r="H339">
        <f>MONTH(Table1[[#This Row],[Date]])</f>
        <v>7</v>
      </c>
      <c r="I339" s="2">
        <f>WEEKDAY(Table1[[#This Row],[Date]])</f>
        <v>6</v>
      </c>
      <c r="J339">
        <f>Table1[[#This Row],[Credit]]-Table1[[#This Row],[Debit]]</f>
        <v>-15</v>
      </c>
      <c r="K339" s="7" t="str">
        <f>TEXT(Table1[[#This Row],[Date]], "mmm")</f>
        <v>Jul</v>
      </c>
    </row>
    <row r="340" spans="1:11" hidden="1" x14ac:dyDescent="0.3">
      <c r="A340" s="1">
        <v>44408</v>
      </c>
      <c r="B340" t="s">
        <v>11</v>
      </c>
      <c r="C340">
        <v>5</v>
      </c>
      <c r="E340" t="s">
        <v>12</v>
      </c>
      <c r="F340" t="s">
        <v>13</v>
      </c>
      <c r="G340" t="s">
        <v>14</v>
      </c>
      <c r="H340">
        <f>MONTH(Table1[[#This Row],[Date]])</f>
        <v>7</v>
      </c>
      <c r="I340" s="2">
        <f>WEEKDAY(Table1[[#This Row],[Date]])</f>
        <v>7</v>
      </c>
      <c r="J340">
        <f>Table1[[#This Row],[Credit]]-Table1[[#This Row],[Debit]]</f>
        <v>-5</v>
      </c>
      <c r="K340" s="7" t="str">
        <f>TEXT(Table1[[#This Row],[Date]], "mmm")</f>
        <v>Jul</v>
      </c>
    </row>
    <row r="341" spans="1:11" x14ac:dyDescent="0.3">
      <c r="A341" s="1">
        <v>44410</v>
      </c>
      <c r="B341" t="s">
        <v>11</v>
      </c>
      <c r="C341">
        <v>5</v>
      </c>
      <c r="E341" t="s">
        <v>12</v>
      </c>
      <c r="F341" t="s">
        <v>13</v>
      </c>
      <c r="G341" t="s">
        <v>14</v>
      </c>
      <c r="H341">
        <f>MONTH(Table1[[#This Row],[Date]])</f>
        <v>8</v>
      </c>
      <c r="I341" s="2">
        <f>WEEKDAY(Table1[[#This Row],[Date]])</f>
        <v>2</v>
      </c>
      <c r="J341">
        <f>Table1[[#This Row],[Credit]]-Table1[[#This Row],[Debit]]</f>
        <v>-5</v>
      </c>
      <c r="K341" s="7" t="str">
        <f>TEXT(Table1[[#This Row],[Date]], "mmm")</f>
        <v>Aug</v>
      </c>
    </row>
    <row r="342" spans="1:11" x14ac:dyDescent="0.3">
      <c r="A342" s="1">
        <v>44410</v>
      </c>
      <c r="B342" t="s">
        <v>7</v>
      </c>
      <c r="D342">
        <v>5000</v>
      </c>
      <c r="E342" t="s">
        <v>8</v>
      </c>
      <c r="F342" t="s">
        <v>9</v>
      </c>
      <c r="G342" t="s">
        <v>10</v>
      </c>
      <c r="H342">
        <f>MONTH(Table1[[#This Row],[Date]])</f>
        <v>8</v>
      </c>
      <c r="I342" s="2">
        <f>WEEKDAY(Table1[[#This Row],[Date]])</f>
        <v>2</v>
      </c>
      <c r="J342">
        <f>Table1[[#This Row],[Credit]]-Table1[[#This Row],[Debit]]</f>
        <v>5000</v>
      </c>
      <c r="K342" s="7" t="str">
        <f>TEXT(Table1[[#This Row],[Date]], "mmm")</f>
        <v>Aug</v>
      </c>
    </row>
    <row r="343" spans="1:11" x14ac:dyDescent="0.3">
      <c r="A343" s="1">
        <v>44411</v>
      </c>
      <c r="B343" t="s">
        <v>11</v>
      </c>
      <c r="C343">
        <v>5</v>
      </c>
      <c r="E343" t="s">
        <v>12</v>
      </c>
      <c r="F343" t="s">
        <v>13</v>
      </c>
      <c r="G343" t="s">
        <v>14</v>
      </c>
      <c r="H343">
        <f>MONTH(Table1[[#This Row],[Date]])</f>
        <v>8</v>
      </c>
      <c r="I343" s="2">
        <f>WEEKDAY(Table1[[#This Row],[Date]])</f>
        <v>3</v>
      </c>
      <c r="J343">
        <f>Table1[[#This Row],[Credit]]-Table1[[#This Row],[Debit]]</f>
        <v>-5</v>
      </c>
      <c r="K343" s="7" t="str">
        <f>TEXT(Table1[[#This Row],[Date]], "mmm")</f>
        <v>Aug</v>
      </c>
    </row>
    <row r="344" spans="1:11" x14ac:dyDescent="0.3">
      <c r="A344" s="1">
        <v>44413</v>
      </c>
      <c r="B344" t="s">
        <v>15</v>
      </c>
      <c r="C344">
        <v>900</v>
      </c>
      <c r="E344" t="s">
        <v>16</v>
      </c>
      <c r="F344" t="s">
        <v>17</v>
      </c>
      <c r="G344" t="s">
        <v>14</v>
      </c>
      <c r="H344">
        <f>MONTH(Table1[[#This Row],[Date]])</f>
        <v>8</v>
      </c>
      <c r="I344" s="2">
        <f>WEEKDAY(Table1[[#This Row],[Date]])</f>
        <v>5</v>
      </c>
      <c r="J344">
        <f>Table1[[#This Row],[Credit]]-Table1[[#This Row],[Debit]]</f>
        <v>-900</v>
      </c>
      <c r="K344" s="7" t="str">
        <f>TEXT(Table1[[#This Row],[Date]], "mmm")</f>
        <v>Aug</v>
      </c>
    </row>
    <row r="345" spans="1:11" x14ac:dyDescent="0.3">
      <c r="A345" s="1">
        <v>44413</v>
      </c>
      <c r="B345" t="s">
        <v>18</v>
      </c>
      <c r="C345">
        <v>150</v>
      </c>
      <c r="E345" t="s">
        <v>19</v>
      </c>
      <c r="F345" t="s">
        <v>20</v>
      </c>
      <c r="G345" t="s">
        <v>14</v>
      </c>
      <c r="H345">
        <f>MONTH(Table1[[#This Row],[Date]])</f>
        <v>8</v>
      </c>
      <c r="I345" s="2">
        <f>WEEKDAY(Table1[[#This Row],[Date]])</f>
        <v>5</v>
      </c>
      <c r="J345">
        <f>Table1[[#This Row],[Credit]]-Table1[[#This Row],[Debit]]</f>
        <v>-150</v>
      </c>
      <c r="K345" s="7" t="str">
        <f>TEXT(Table1[[#This Row],[Date]], "mmm")</f>
        <v>Aug</v>
      </c>
    </row>
    <row r="346" spans="1:11" x14ac:dyDescent="0.3">
      <c r="A346" s="1">
        <v>44413</v>
      </c>
      <c r="B346" t="s">
        <v>11</v>
      </c>
      <c r="C346">
        <v>5</v>
      </c>
      <c r="E346" t="s">
        <v>12</v>
      </c>
      <c r="F346" t="s">
        <v>13</v>
      </c>
      <c r="G346" t="s">
        <v>14</v>
      </c>
      <c r="H346">
        <f>MONTH(Table1[[#This Row],[Date]])</f>
        <v>8</v>
      </c>
      <c r="I346" s="2">
        <f>WEEKDAY(Table1[[#This Row],[Date]])</f>
        <v>5</v>
      </c>
      <c r="J346">
        <f>Table1[[#This Row],[Credit]]-Table1[[#This Row],[Debit]]</f>
        <v>-5</v>
      </c>
      <c r="K346" s="7" t="str">
        <f>TEXT(Table1[[#This Row],[Date]], "mmm")</f>
        <v>Aug</v>
      </c>
    </row>
    <row r="347" spans="1:11" x14ac:dyDescent="0.3">
      <c r="A347" s="1">
        <v>44413</v>
      </c>
      <c r="B347" t="s">
        <v>11</v>
      </c>
      <c r="C347">
        <v>5</v>
      </c>
      <c r="E347" t="s">
        <v>12</v>
      </c>
      <c r="F347" t="s">
        <v>13</v>
      </c>
      <c r="G347" t="s">
        <v>14</v>
      </c>
      <c r="H347">
        <f>MONTH(Table1[[#This Row],[Date]])</f>
        <v>8</v>
      </c>
      <c r="I347" s="2">
        <f>WEEKDAY(Table1[[#This Row],[Date]])</f>
        <v>5</v>
      </c>
      <c r="J347">
        <f>Table1[[#This Row],[Credit]]-Table1[[#This Row],[Debit]]</f>
        <v>-5</v>
      </c>
      <c r="K347" s="7" t="str">
        <f>TEXT(Table1[[#This Row],[Date]], "mmm")</f>
        <v>Aug</v>
      </c>
    </row>
    <row r="348" spans="1:11" x14ac:dyDescent="0.3">
      <c r="A348" s="1">
        <v>44414</v>
      </c>
      <c r="B348" t="s">
        <v>11</v>
      </c>
      <c r="C348">
        <v>5</v>
      </c>
      <c r="E348" t="s">
        <v>12</v>
      </c>
      <c r="F348" t="s">
        <v>13</v>
      </c>
      <c r="G348" t="s">
        <v>14</v>
      </c>
      <c r="H348">
        <f>MONTH(Table1[[#This Row],[Date]])</f>
        <v>8</v>
      </c>
      <c r="I348" s="2">
        <f>WEEKDAY(Table1[[#This Row],[Date]])</f>
        <v>6</v>
      </c>
      <c r="J348">
        <f>Table1[[#This Row],[Credit]]-Table1[[#This Row],[Debit]]</f>
        <v>-5</v>
      </c>
      <c r="K348" s="7" t="str">
        <f>TEXT(Table1[[#This Row],[Date]], "mmm")</f>
        <v>Aug</v>
      </c>
    </row>
    <row r="349" spans="1:11" x14ac:dyDescent="0.3">
      <c r="A349" s="1">
        <v>44415</v>
      </c>
      <c r="B349" t="s">
        <v>11</v>
      </c>
      <c r="C349">
        <v>5</v>
      </c>
      <c r="E349" t="s">
        <v>12</v>
      </c>
      <c r="F349" t="s">
        <v>13</v>
      </c>
      <c r="G349" t="s">
        <v>14</v>
      </c>
      <c r="H349">
        <f>MONTH(Table1[[#This Row],[Date]])</f>
        <v>8</v>
      </c>
      <c r="I349" s="2">
        <f>WEEKDAY(Table1[[#This Row],[Date]])</f>
        <v>7</v>
      </c>
      <c r="J349">
        <f>Table1[[#This Row],[Credit]]-Table1[[#This Row],[Debit]]</f>
        <v>-5</v>
      </c>
      <c r="K349" s="7" t="str">
        <f>TEXT(Table1[[#This Row],[Date]], "mmm")</f>
        <v>Aug</v>
      </c>
    </row>
    <row r="350" spans="1:11" x14ac:dyDescent="0.3">
      <c r="A350" s="1">
        <v>44415</v>
      </c>
      <c r="B350" t="s">
        <v>21</v>
      </c>
      <c r="C350">
        <v>137</v>
      </c>
      <c r="E350" t="s">
        <v>22</v>
      </c>
      <c r="F350" t="s">
        <v>17</v>
      </c>
      <c r="G350" t="s">
        <v>14</v>
      </c>
      <c r="H350">
        <f>MONTH(Table1[[#This Row],[Date]])</f>
        <v>8</v>
      </c>
      <c r="I350" s="2">
        <f>WEEKDAY(Table1[[#This Row],[Date]])</f>
        <v>7</v>
      </c>
      <c r="J350">
        <f>Table1[[#This Row],[Credit]]-Table1[[#This Row],[Debit]]</f>
        <v>-137</v>
      </c>
      <c r="K350" s="7" t="str">
        <f>TEXT(Table1[[#This Row],[Date]], "mmm")</f>
        <v>Aug</v>
      </c>
    </row>
    <row r="351" spans="1:11" x14ac:dyDescent="0.3">
      <c r="A351" s="1">
        <v>44418</v>
      </c>
      <c r="B351" t="s">
        <v>23</v>
      </c>
      <c r="C351">
        <v>57</v>
      </c>
      <c r="E351" t="s">
        <v>24</v>
      </c>
      <c r="F351" t="s">
        <v>17</v>
      </c>
      <c r="G351" t="s">
        <v>14</v>
      </c>
      <c r="H351">
        <f>MONTH(Table1[[#This Row],[Date]])</f>
        <v>8</v>
      </c>
      <c r="I351" s="2">
        <f>WEEKDAY(Table1[[#This Row],[Date]])</f>
        <v>3</v>
      </c>
      <c r="J351">
        <f>Table1[[#This Row],[Credit]]-Table1[[#This Row],[Debit]]</f>
        <v>-57</v>
      </c>
      <c r="K351" s="7" t="str">
        <f>TEXT(Table1[[#This Row],[Date]], "mmm")</f>
        <v>Aug</v>
      </c>
    </row>
    <row r="352" spans="1:11" x14ac:dyDescent="0.3">
      <c r="A352" s="1">
        <v>44418</v>
      </c>
      <c r="B352" t="s">
        <v>11</v>
      </c>
      <c r="C352">
        <v>5</v>
      </c>
      <c r="E352" t="s">
        <v>12</v>
      </c>
      <c r="F352" t="s">
        <v>13</v>
      </c>
      <c r="G352" t="s">
        <v>14</v>
      </c>
      <c r="H352">
        <f>MONTH(Table1[[#This Row],[Date]])</f>
        <v>8</v>
      </c>
      <c r="I352" s="2">
        <f>WEEKDAY(Table1[[#This Row],[Date]])</f>
        <v>3</v>
      </c>
      <c r="J352">
        <f>Table1[[#This Row],[Credit]]-Table1[[#This Row],[Debit]]</f>
        <v>-5</v>
      </c>
      <c r="K352" s="7" t="str">
        <f>TEXT(Table1[[#This Row],[Date]], "mmm")</f>
        <v>Aug</v>
      </c>
    </row>
    <row r="353" spans="1:11" x14ac:dyDescent="0.3">
      <c r="A353" s="1">
        <v>44419</v>
      </c>
      <c r="B353" t="s">
        <v>11</v>
      </c>
      <c r="C353">
        <v>5</v>
      </c>
      <c r="E353" t="s">
        <v>12</v>
      </c>
      <c r="F353" t="s">
        <v>13</v>
      </c>
      <c r="G353" t="s">
        <v>14</v>
      </c>
      <c r="H353">
        <f>MONTH(Table1[[#This Row],[Date]])</f>
        <v>8</v>
      </c>
      <c r="I353" s="2">
        <f>WEEKDAY(Table1[[#This Row],[Date]])</f>
        <v>4</v>
      </c>
      <c r="J353">
        <f>Table1[[#This Row],[Credit]]-Table1[[#This Row],[Debit]]</f>
        <v>-5</v>
      </c>
      <c r="K353" s="7" t="str">
        <f>TEXT(Table1[[#This Row],[Date]], "mmm")</f>
        <v>Aug</v>
      </c>
    </row>
    <row r="354" spans="1:11" x14ac:dyDescent="0.3">
      <c r="A354" s="1">
        <v>44420</v>
      </c>
      <c r="B354" t="s">
        <v>25</v>
      </c>
      <c r="C354">
        <v>84.199999999999989</v>
      </c>
      <c r="E354" t="s">
        <v>48</v>
      </c>
      <c r="F354" t="s">
        <v>20</v>
      </c>
      <c r="G354" t="s">
        <v>14</v>
      </c>
      <c r="H354">
        <f>MONTH(Table1[[#This Row],[Date]])</f>
        <v>8</v>
      </c>
      <c r="I354" s="2">
        <f>WEEKDAY(Table1[[#This Row],[Date]])</f>
        <v>5</v>
      </c>
      <c r="J354">
        <f>Table1[[#This Row],[Credit]]-Table1[[#This Row],[Debit]]</f>
        <v>-84.199999999999989</v>
      </c>
      <c r="K354" s="7" t="str">
        <f>TEXT(Table1[[#This Row],[Date]], "mmm")</f>
        <v>Aug</v>
      </c>
    </row>
    <row r="355" spans="1:11" x14ac:dyDescent="0.3">
      <c r="A355" s="1">
        <v>44420</v>
      </c>
      <c r="B355" t="s">
        <v>11</v>
      </c>
      <c r="C355">
        <v>5</v>
      </c>
      <c r="E355" t="s">
        <v>12</v>
      </c>
      <c r="F355" t="s">
        <v>13</v>
      </c>
      <c r="G355" t="s">
        <v>14</v>
      </c>
      <c r="H355">
        <f>MONTH(Table1[[#This Row],[Date]])</f>
        <v>8</v>
      </c>
      <c r="I355" s="2">
        <f>WEEKDAY(Table1[[#This Row],[Date]])</f>
        <v>5</v>
      </c>
      <c r="J355">
        <f>Table1[[#This Row],[Credit]]-Table1[[#This Row],[Debit]]</f>
        <v>-5</v>
      </c>
      <c r="K355" s="7" t="str">
        <f>TEXT(Table1[[#This Row],[Date]], "mmm")</f>
        <v>Aug</v>
      </c>
    </row>
    <row r="356" spans="1:11" x14ac:dyDescent="0.3">
      <c r="A356" s="1">
        <v>44421</v>
      </c>
      <c r="B356" t="s">
        <v>11</v>
      </c>
      <c r="C356">
        <v>5</v>
      </c>
      <c r="E356" t="s">
        <v>12</v>
      </c>
      <c r="F356" t="s">
        <v>13</v>
      </c>
      <c r="G356" t="s">
        <v>14</v>
      </c>
      <c r="H356">
        <f>MONTH(Table1[[#This Row],[Date]])</f>
        <v>8</v>
      </c>
      <c r="I356" s="2">
        <f>WEEKDAY(Table1[[#This Row],[Date]])</f>
        <v>6</v>
      </c>
      <c r="J356">
        <f>Table1[[#This Row],[Credit]]-Table1[[#This Row],[Debit]]</f>
        <v>-5</v>
      </c>
      <c r="K356" s="7" t="str">
        <f>TEXT(Table1[[#This Row],[Date]], "mmm")</f>
        <v>Aug</v>
      </c>
    </row>
    <row r="357" spans="1:11" x14ac:dyDescent="0.3">
      <c r="A357" s="1">
        <v>44422</v>
      </c>
      <c r="B357" t="s">
        <v>21</v>
      </c>
      <c r="C357">
        <v>142.1</v>
      </c>
      <c r="E357" t="s">
        <v>22</v>
      </c>
      <c r="F357" t="s">
        <v>17</v>
      </c>
      <c r="G357" t="s">
        <v>14</v>
      </c>
      <c r="H357">
        <f>MONTH(Table1[[#This Row],[Date]])</f>
        <v>8</v>
      </c>
      <c r="I357" s="2">
        <f>WEEKDAY(Table1[[#This Row],[Date]])</f>
        <v>7</v>
      </c>
      <c r="J357">
        <f>Table1[[#This Row],[Credit]]-Table1[[#This Row],[Debit]]</f>
        <v>-142.1</v>
      </c>
      <c r="K357" s="7" t="str">
        <f>TEXT(Table1[[#This Row],[Date]], "mmm")</f>
        <v>Aug</v>
      </c>
    </row>
    <row r="358" spans="1:11" x14ac:dyDescent="0.3">
      <c r="A358" s="1">
        <v>44422</v>
      </c>
      <c r="B358" t="s">
        <v>11</v>
      </c>
      <c r="C358">
        <v>5</v>
      </c>
      <c r="E358" t="s">
        <v>12</v>
      </c>
      <c r="F358" t="s">
        <v>13</v>
      </c>
      <c r="G358" t="s">
        <v>14</v>
      </c>
      <c r="H358">
        <f>MONTH(Table1[[#This Row],[Date]])</f>
        <v>8</v>
      </c>
      <c r="I358" s="2">
        <f>WEEKDAY(Table1[[#This Row],[Date]])</f>
        <v>7</v>
      </c>
      <c r="J358">
        <f>Table1[[#This Row],[Credit]]-Table1[[#This Row],[Debit]]</f>
        <v>-5</v>
      </c>
      <c r="K358" s="7" t="str">
        <f>TEXT(Table1[[#This Row],[Date]], "mmm")</f>
        <v>Aug</v>
      </c>
    </row>
    <row r="359" spans="1:11" x14ac:dyDescent="0.3">
      <c r="A359" s="1">
        <v>44423</v>
      </c>
      <c r="B359" t="s">
        <v>11</v>
      </c>
      <c r="C359">
        <v>5</v>
      </c>
      <c r="E359" t="s">
        <v>12</v>
      </c>
      <c r="F359" t="s">
        <v>13</v>
      </c>
      <c r="G359" t="s">
        <v>14</v>
      </c>
      <c r="H359">
        <f>MONTH(Table1[[#This Row],[Date]])</f>
        <v>8</v>
      </c>
      <c r="I359" s="2">
        <f>WEEKDAY(Table1[[#This Row],[Date]])</f>
        <v>1</v>
      </c>
      <c r="J359">
        <f>Table1[[#This Row],[Credit]]-Table1[[#This Row],[Debit]]</f>
        <v>-5</v>
      </c>
      <c r="K359" s="7" t="str">
        <f>TEXT(Table1[[#This Row],[Date]], "mmm")</f>
        <v>Aug</v>
      </c>
    </row>
    <row r="360" spans="1:11" x14ac:dyDescent="0.3">
      <c r="A360" s="1">
        <v>44423</v>
      </c>
      <c r="B360" t="s">
        <v>26</v>
      </c>
      <c r="C360">
        <v>46.8</v>
      </c>
      <c r="E360" t="s">
        <v>27</v>
      </c>
      <c r="F360" t="s">
        <v>28</v>
      </c>
      <c r="G360" t="s">
        <v>14</v>
      </c>
      <c r="H360">
        <f>MONTH(Table1[[#This Row],[Date]])</f>
        <v>8</v>
      </c>
      <c r="I360" s="2">
        <f>WEEKDAY(Table1[[#This Row],[Date]])</f>
        <v>1</v>
      </c>
      <c r="J360">
        <f>Table1[[#This Row],[Credit]]-Table1[[#This Row],[Debit]]</f>
        <v>-46.8</v>
      </c>
      <c r="K360" s="7" t="str">
        <f>TEXT(Table1[[#This Row],[Date]], "mmm")</f>
        <v>Aug</v>
      </c>
    </row>
    <row r="361" spans="1:11" x14ac:dyDescent="0.3">
      <c r="A361" s="1">
        <v>44423</v>
      </c>
      <c r="B361" t="s">
        <v>29</v>
      </c>
      <c r="C361">
        <v>104.70000000000002</v>
      </c>
      <c r="E361" t="s">
        <v>30</v>
      </c>
      <c r="F361" t="s">
        <v>28</v>
      </c>
      <c r="G361" t="s">
        <v>14</v>
      </c>
      <c r="H361">
        <f>MONTH(Table1[[#This Row],[Date]])</f>
        <v>8</v>
      </c>
      <c r="I361" s="2">
        <f>WEEKDAY(Table1[[#This Row],[Date]])</f>
        <v>1</v>
      </c>
      <c r="J361">
        <f>Table1[[#This Row],[Credit]]-Table1[[#This Row],[Debit]]</f>
        <v>-104.70000000000002</v>
      </c>
      <c r="K361" s="7" t="str">
        <f>TEXT(Table1[[#This Row],[Date]], "mmm")</f>
        <v>Aug</v>
      </c>
    </row>
    <row r="362" spans="1:11" x14ac:dyDescent="0.3">
      <c r="A362" s="1">
        <v>44423</v>
      </c>
      <c r="B362" t="s">
        <v>31</v>
      </c>
      <c r="C362">
        <v>59.1</v>
      </c>
      <c r="E362" t="s">
        <v>32</v>
      </c>
      <c r="F362" t="s">
        <v>13</v>
      </c>
      <c r="G362" t="s">
        <v>14</v>
      </c>
      <c r="H362">
        <f>MONTH(Table1[[#This Row],[Date]])</f>
        <v>8</v>
      </c>
      <c r="I362" s="2">
        <f>WEEKDAY(Table1[[#This Row],[Date]])</f>
        <v>1</v>
      </c>
      <c r="J362">
        <f>Table1[[#This Row],[Credit]]-Table1[[#This Row],[Debit]]</f>
        <v>-59.1</v>
      </c>
      <c r="K362" s="7" t="str">
        <f>TEXT(Table1[[#This Row],[Date]], "mmm")</f>
        <v>Aug</v>
      </c>
    </row>
    <row r="363" spans="1:11" x14ac:dyDescent="0.3">
      <c r="A363" s="1">
        <v>44424</v>
      </c>
      <c r="B363" t="s">
        <v>33</v>
      </c>
      <c r="C363">
        <v>35.1</v>
      </c>
      <c r="E363" t="s">
        <v>34</v>
      </c>
      <c r="F363" t="s">
        <v>20</v>
      </c>
      <c r="G363" t="s">
        <v>14</v>
      </c>
      <c r="H363">
        <f>MONTH(Table1[[#This Row],[Date]])</f>
        <v>8</v>
      </c>
      <c r="I363" s="2">
        <f>WEEKDAY(Table1[[#This Row],[Date]])</f>
        <v>2</v>
      </c>
      <c r="J363">
        <f>Table1[[#This Row],[Credit]]-Table1[[#This Row],[Debit]]</f>
        <v>-35.1</v>
      </c>
      <c r="K363" s="7" t="str">
        <f>TEXT(Table1[[#This Row],[Date]], "mmm")</f>
        <v>Aug</v>
      </c>
    </row>
    <row r="364" spans="1:11" x14ac:dyDescent="0.3">
      <c r="A364" s="1">
        <v>44425</v>
      </c>
      <c r="B364" t="s">
        <v>35</v>
      </c>
      <c r="D364">
        <v>800</v>
      </c>
      <c r="E364" t="s">
        <v>36</v>
      </c>
      <c r="F364" t="s">
        <v>37</v>
      </c>
      <c r="G364" t="s">
        <v>10</v>
      </c>
      <c r="H364">
        <f>MONTH(Table1[[#This Row],[Date]])</f>
        <v>8</v>
      </c>
      <c r="I364" s="2">
        <f>WEEKDAY(Table1[[#This Row],[Date]])</f>
        <v>3</v>
      </c>
      <c r="J364">
        <f>Table1[[#This Row],[Credit]]-Table1[[#This Row],[Debit]]</f>
        <v>800</v>
      </c>
      <c r="K364" s="7" t="str">
        <f>TEXT(Table1[[#This Row],[Date]], "mmm")</f>
        <v>Aug</v>
      </c>
    </row>
    <row r="365" spans="1:11" x14ac:dyDescent="0.3">
      <c r="A365" s="1">
        <v>44425</v>
      </c>
      <c r="B365" t="s">
        <v>11</v>
      </c>
      <c r="C365">
        <v>5</v>
      </c>
      <c r="E365" t="s">
        <v>12</v>
      </c>
      <c r="F365" t="s">
        <v>13</v>
      </c>
      <c r="G365" t="s">
        <v>14</v>
      </c>
      <c r="H365">
        <f>MONTH(Table1[[#This Row],[Date]])</f>
        <v>8</v>
      </c>
      <c r="I365" s="2">
        <f>WEEKDAY(Table1[[#This Row],[Date]])</f>
        <v>3</v>
      </c>
      <c r="J365">
        <f>Table1[[#This Row],[Credit]]-Table1[[#This Row],[Debit]]</f>
        <v>-5</v>
      </c>
      <c r="K365" s="7" t="str">
        <f>TEXT(Table1[[#This Row],[Date]], "mmm")</f>
        <v>Aug</v>
      </c>
    </row>
    <row r="366" spans="1:11" x14ac:dyDescent="0.3">
      <c r="A366" s="1">
        <v>44426</v>
      </c>
      <c r="B366" t="s">
        <v>11</v>
      </c>
      <c r="C366">
        <v>5</v>
      </c>
      <c r="E366" t="s">
        <v>12</v>
      </c>
      <c r="F366" t="s">
        <v>13</v>
      </c>
      <c r="G366" t="s">
        <v>14</v>
      </c>
      <c r="H366">
        <f>MONTH(Table1[[#This Row],[Date]])</f>
        <v>8</v>
      </c>
      <c r="I366" s="2">
        <f>WEEKDAY(Table1[[#This Row],[Date]])</f>
        <v>4</v>
      </c>
      <c r="J366">
        <f>Table1[[#This Row],[Credit]]-Table1[[#This Row],[Debit]]</f>
        <v>-5</v>
      </c>
      <c r="K366" s="7" t="str">
        <f>TEXT(Table1[[#This Row],[Date]], "mmm")</f>
        <v>Aug</v>
      </c>
    </row>
    <row r="367" spans="1:11" x14ac:dyDescent="0.3">
      <c r="A367" s="1">
        <v>44426</v>
      </c>
      <c r="B367" t="s">
        <v>39</v>
      </c>
      <c r="C367">
        <v>40</v>
      </c>
      <c r="E367" t="s">
        <v>39</v>
      </c>
      <c r="F367" t="s">
        <v>17</v>
      </c>
      <c r="G367" t="s">
        <v>14</v>
      </c>
      <c r="H367">
        <f>MONTH(Table1[[#This Row],[Date]])</f>
        <v>8</v>
      </c>
      <c r="I367" s="2">
        <f>WEEKDAY(Table1[[#This Row],[Date]])</f>
        <v>4</v>
      </c>
      <c r="J367">
        <f>Table1[[#This Row],[Credit]]-Table1[[#This Row],[Debit]]</f>
        <v>-40</v>
      </c>
      <c r="K367" s="7" t="str">
        <f>TEXT(Table1[[#This Row],[Date]], "mmm")</f>
        <v>Aug</v>
      </c>
    </row>
    <row r="368" spans="1:11" x14ac:dyDescent="0.3">
      <c r="A368" s="1">
        <v>44427</v>
      </c>
      <c r="B368" t="s">
        <v>40</v>
      </c>
      <c r="C368">
        <v>52.1</v>
      </c>
      <c r="E368" t="s">
        <v>41</v>
      </c>
      <c r="F368" t="s">
        <v>28</v>
      </c>
      <c r="G368" t="s">
        <v>14</v>
      </c>
      <c r="H368">
        <f>MONTH(Table1[[#This Row],[Date]])</f>
        <v>8</v>
      </c>
      <c r="I368" s="2">
        <f>WEEKDAY(Table1[[#This Row],[Date]])</f>
        <v>5</v>
      </c>
      <c r="J368">
        <f>Table1[[#This Row],[Credit]]-Table1[[#This Row],[Debit]]</f>
        <v>-52.1</v>
      </c>
      <c r="K368" s="7" t="str">
        <f>TEXT(Table1[[#This Row],[Date]], "mmm")</f>
        <v>Aug</v>
      </c>
    </row>
    <row r="369" spans="1:11" x14ac:dyDescent="0.3">
      <c r="A369" s="1">
        <v>44427</v>
      </c>
      <c r="B369" t="s">
        <v>42</v>
      </c>
      <c r="C369">
        <v>35</v>
      </c>
      <c r="E369" t="s">
        <v>27</v>
      </c>
      <c r="F369" t="s">
        <v>28</v>
      </c>
      <c r="G369" t="s">
        <v>14</v>
      </c>
      <c r="H369">
        <f>MONTH(Table1[[#This Row],[Date]])</f>
        <v>8</v>
      </c>
      <c r="I369" s="2">
        <f>WEEKDAY(Table1[[#This Row],[Date]])</f>
        <v>5</v>
      </c>
      <c r="J369">
        <f>Table1[[#This Row],[Credit]]-Table1[[#This Row],[Debit]]</f>
        <v>-35</v>
      </c>
      <c r="K369" s="7" t="str">
        <f>TEXT(Table1[[#This Row],[Date]], "mmm")</f>
        <v>Aug</v>
      </c>
    </row>
    <row r="370" spans="1:11" x14ac:dyDescent="0.3">
      <c r="A370" s="1">
        <v>44427</v>
      </c>
      <c r="B370" t="s">
        <v>11</v>
      </c>
      <c r="C370">
        <v>5</v>
      </c>
      <c r="E370" t="s">
        <v>12</v>
      </c>
      <c r="F370" t="s">
        <v>13</v>
      </c>
      <c r="G370" t="s">
        <v>14</v>
      </c>
      <c r="H370">
        <f>MONTH(Table1[[#This Row],[Date]])</f>
        <v>8</v>
      </c>
      <c r="I370" s="2">
        <f>WEEKDAY(Table1[[#This Row],[Date]])</f>
        <v>5</v>
      </c>
      <c r="J370">
        <f>Table1[[#This Row],[Credit]]-Table1[[#This Row],[Debit]]</f>
        <v>-5</v>
      </c>
      <c r="K370" s="7" t="str">
        <f>TEXT(Table1[[#This Row],[Date]], "mmm")</f>
        <v>Aug</v>
      </c>
    </row>
    <row r="371" spans="1:11" x14ac:dyDescent="0.3">
      <c r="A371" s="1">
        <v>44428</v>
      </c>
      <c r="B371" t="s">
        <v>11</v>
      </c>
      <c r="C371">
        <v>5</v>
      </c>
      <c r="E371" t="s">
        <v>12</v>
      </c>
      <c r="F371" t="s">
        <v>13</v>
      </c>
      <c r="G371" t="s">
        <v>14</v>
      </c>
      <c r="H371">
        <f>MONTH(Table1[[#This Row],[Date]])</f>
        <v>8</v>
      </c>
      <c r="I371" s="2">
        <f>WEEKDAY(Table1[[#This Row],[Date]])</f>
        <v>6</v>
      </c>
      <c r="J371">
        <f>Table1[[#This Row],[Credit]]-Table1[[#This Row],[Debit]]</f>
        <v>-5</v>
      </c>
      <c r="K371" s="7" t="str">
        <f>TEXT(Table1[[#This Row],[Date]], "mmm")</f>
        <v>Aug</v>
      </c>
    </row>
    <row r="372" spans="1:11" x14ac:dyDescent="0.3">
      <c r="A372" s="1">
        <v>44429</v>
      </c>
      <c r="B372" t="s">
        <v>11</v>
      </c>
      <c r="C372">
        <v>5</v>
      </c>
      <c r="E372" t="s">
        <v>12</v>
      </c>
      <c r="F372" t="s">
        <v>13</v>
      </c>
      <c r="G372" t="s">
        <v>14</v>
      </c>
      <c r="H372">
        <f>MONTH(Table1[[#This Row],[Date]])</f>
        <v>8</v>
      </c>
      <c r="I372" s="2">
        <f>WEEKDAY(Table1[[#This Row],[Date]])</f>
        <v>7</v>
      </c>
      <c r="J372">
        <f>Table1[[#This Row],[Credit]]-Table1[[#This Row],[Debit]]</f>
        <v>-5</v>
      </c>
      <c r="K372" s="7" t="str">
        <f>TEXT(Table1[[#This Row],[Date]], "mmm")</f>
        <v>Aug</v>
      </c>
    </row>
    <row r="373" spans="1:11" x14ac:dyDescent="0.3">
      <c r="A373" s="1">
        <v>44429</v>
      </c>
      <c r="B373" t="s">
        <v>21</v>
      </c>
      <c r="C373">
        <v>177</v>
      </c>
      <c r="E373" t="s">
        <v>22</v>
      </c>
      <c r="F373" t="s">
        <v>17</v>
      </c>
      <c r="G373" t="s">
        <v>14</v>
      </c>
      <c r="H373">
        <f>MONTH(Table1[[#This Row],[Date]])</f>
        <v>8</v>
      </c>
      <c r="I373" s="2">
        <f>WEEKDAY(Table1[[#This Row],[Date]])</f>
        <v>7</v>
      </c>
      <c r="J373">
        <f>Table1[[#This Row],[Credit]]-Table1[[#This Row],[Debit]]</f>
        <v>-177</v>
      </c>
      <c r="K373" s="7" t="str">
        <f>TEXT(Table1[[#This Row],[Date]], "mmm")</f>
        <v>Aug</v>
      </c>
    </row>
    <row r="374" spans="1:11" x14ac:dyDescent="0.3">
      <c r="A374" s="1">
        <v>44430</v>
      </c>
      <c r="B374" t="s">
        <v>43</v>
      </c>
      <c r="C374">
        <v>44.2</v>
      </c>
      <c r="E374" t="s">
        <v>32</v>
      </c>
      <c r="F374" t="s">
        <v>13</v>
      </c>
      <c r="G374" t="s">
        <v>14</v>
      </c>
      <c r="H374">
        <f>MONTH(Table1[[#This Row],[Date]])</f>
        <v>8</v>
      </c>
      <c r="I374" s="2">
        <f>WEEKDAY(Table1[[#This Row],[Date]])</f>
        <v>1</v>
      </c>
      <c r="J374">
        <f>Table1[[#This Row],[Credit]]-Table1[[#This Row],[Debit]]</f>
        <v>-44.2</v>
      </c>
      <c r="K374" s="7" t="str">
        <f>TEXT(Table1[[#This Row],[Date]], "mmm")</f>
        <v>Aug</v>
      </c>
    </row>
    <row r="375" spans="1:11" x14ac:dyDescent="0.3">
      <c r="A375" s="1">
        <v>44431</v>
      </c>
      <c r="B375" t="s">
        <v>44</v>
      </c>
      <c r="C375">
        <v>19.2</v>
      </c>
      <c r="E375" t="s">
        <v>32</v>
      </c>
      <c r="F375" t="s">
        <v>13</v>
      </c>
      <c r="G375" t="s">
        <v>14</v>
      </c>
      <c r="H375">
        <f>MONTH(Table1[[#This Row],[Date]])</f>
        <v>8</v>
      </c>
      <c r="I375" s="2">
        <f>WEEKDAY(Table1[[#This Row],[Date]])</f>
        <v>2</v>
      </c>
      <c r="J375">
        <f>Table1[[#This Row],[Credit]]-Table1[[#This Row],[Debit]]</f>
        <v>-19.2</v>
      </c>
      <c r="K375" s="7" t="str">
        <f>TEXT(Table1[[#This Row],[Date]], "mmm")</f>
        <v>Aug</v>
      </c>
    </row>
    <row r="376" spans="1:11" x14ac:dyDescent="0.3">
      <c r="A376" s="1">
        <v>44432</v>
      </c>
      <c r="B376" t="s">
        <v>45</v>
      </c>
      <c r="C376">
        <v>55</v>
      </c>
      <c r="E376" t="s">
        <v>46</v>
      </c>
      <c r="F376" t="s">
        <v>47</v>
      </c>
      <c r="G376" t="s">
        <v>14</v>
      </c>
      <c r="H376">
        <f>MONTH(Table1[[#This Row],[Date]])</f>
        <v>8</v>
      </c>
      <c r="I376" s="2">
        <f>WEEKDAY(Table1[[#This Row],[Date]])</f>
        <v>3</v>
      </c>
      <c r="J376">
        <f>Table1[[#This Row],[Credit]]-Table1[[#This Row],[Debit]]</f>
        <v>-55</v>
      </c>
      <c r="K376" s="7" t="str">
        <f>TEXT(Table1[[#This Row],[Date]], "mmm")</f>
        <v>Aug</v>
      </c>
    </row>
    <row r="377" spans="1:11" x14ac:dyDescent="0.3">
      <c r="A377" s="1">
        <v>44432</v>
      </c>
      <c r="B377" t="s">
        <v>25</v>
      </c>
      <c r="C377">
        <v>69.700000000000017</v>
      </c>
      <c r="E377" t="s">
        <v>48</v>
      </c>
      <c r="F377" t="s">
        <v>20</v>
      </c>
      <c r="G377" t="s">
        <v>14</v>
      </c>
      <c r="H377">
        <f>MONTH(Table1[[#This Row],[Date]])</f>
        <v>8</v>
      </c>
      <c r="I377" s="2">
        <f>WEEKDAY(Table1[[#This Row],[Date]])</f>
        <v>3</v>
      </c>
      <c r="J377">
        <f>Table1[[#This Row],[Credit]]-Table1[[#This Row],[Debit]]</f>
        <v>-69.700000000000017</v>
      </c>
      <c r="K377" s="7" t="str">
        <f>TEXT(Table1[[#This Row],[Date]], "mmm")</f>
        <v>Aug</v>
      </c>
    </row>
    <row r="378" spans="1:11" x14ac:dyDescent="0.3">
      <c r="A378" s="1">
        <v>44432</v>
      </c>
      <c r="B378" t="s">
        <v>11</v>
      </c>
      <c r="C378">
        <v>5</v>
      </c>
      <c r="E378" t="s">
        <v>12</v>
      </c>
      <c r="F378" t="s">
        <v>13</v>
      </c>
      <c r="G378" t="s">
        <v>14</v>
      </c>
      <c r="H378">
        <f>MONTH(Table1[[#This Row],[Date]])</f>
        <v>8</v>
      </c>
      <c r="I378" s="2">
        <f>WEEKDAY(Table1[[#This Row],[Date]])</f>
        <v>3</v>
      </c>
      <c r="J378">
        <f>Table1[[#This Row],[Credit]]-Table1[[#This Row],[Debit]]</f>
        <v>-5</v>
      </c>
      <c r="K378" s="7" t="str">
        <f>TEXT(Table1[[#This Row],[Date]], "mmm")</f>
        <v>Aug</v>
      </c>
    </row>
    <row r="379" spans="1:11" x14ac:dyDescent="0.3">
      <c r="A379" s="1">
        <v>44433</v>
      </c>
      <c r="B379" t="s">
        <v>11</v>
      </c>
      <c r="C379">
        <v>5</v>
      </c>
      <c r="E379" t="s">
        <v>12</v>
      </c>
      <c r="F379" t="s">
        <v>13</v>
      </c>
      <c r="G379" t="s">
        <v>14</v>
      </c>
      <c r="H379">
        <f>MONTH(Table1[[#This Row],[Date]])</f>
        <v>8</v>
      </c>
      <c r="I379" s="2">
        <f>WEEKDAY(Table1[[#This Row],[Date]])</f>
        <v>4</v>
      </c>
      <c r="J379">
        <f>Table1[[#This Row],[Credit]]-Table1[[#This Row],[Debit]]</f>
        <v>-5</v>
      </c>
      <c r="K379" s="7" t="str">
        <f>TEXT(Table1[[#This Row],[Date]], "mmm")</f>
        <v>Aug</v>
      </c>
    </row>
    <row r="380" spans="1:11" x14ac:dyDescent="0.3">
      <c r="A380" s="1">
        <v>44434</v>
      </c>
      <c r="B380" t="s">
        <v>11</v>
      </c>
      <c r="C380">
        <v>5</v>
      </c>
      <c r="E380" t="s">
        <v>12</v>
      </c>
      <c r="F380" t="s">
        <v>13</v>
      </c>
      <c r="G380" t="s">
        <v>14</v>
      </c>
      <c r="H380">
        <f>MONTH(Table1[[#This Row],[Date]])</f>
        <v>8</v>
      </c>
      <c r="I380" s="2">
        <f>WEEKDAY(Table1[[#This Row],[Date]])</f>
        <v>5</v>
      </c>
      <c r="J380">
        <f>Table1[[#This Row],[Credit]]-Table1[[#This Row],[Debit]]</f>
        <v>-5</v>
      </c>
      <c r="K380" s="7" t="str">
        <f>TEXT(Table1[[#This Row],[Date]], "mmm")</f>
        <v>Aug</v>
      </c>
    </row>
    <row r="381" spans="1:11" x14ac:dyDescent="0.3">
      <c r="A381" s="1">
        <v>44435</v>
      </c>
      <c r="B381" t="s">
        <v>11</v>
      </c>
      <c r="C381">
        <v>5</v>
      </c>
      <c r="E381" t="s">
        <v>12</v>
      </c>
      <c r="F381" t="s">
        <v>13</v>
      </c>
      <c r="G381" t="s">
        <v>14</v>
      </c>
      <c r="H381">
        <f>MONTH(Table1[[#This Row],[Date]])</f>
        <v>8</v>
      </c>
      <c r="I381" s="2">
        <f>WEEKDAY(Table1[[#This Row],[Date]])</f>
        <v>6</v>
      </c>
      <c r="J381">
        <f>Table1[[#This Row],[Credit]]-Table1[[#This Row],[Debit]]</f>
        <v>-5</v>
      </c>
      <c r="K381" s="7" t="str">
        <f>TEXT(Table1[[#This Row],[Date]], "mmm")</f>
        <v>Aug</v>
      </c>
    </row>
    <row r="382" spans="1:11" x14ac:dyDescent="0.3">
      <c r="A382" s="1">
        <v>44436</v>
      </c>
      <c r="B382" t="s">
        <v>11</v>
      </c>
      <c r="C382">
        <v>5</v>
      </c>
      <c r="E382" t="s">
        <v>12</v>
      </c>
      <c r="F382" t="s">
        <v>13</v>
      </c>
      <c r="G382" t="s">
        <v>14</v>
      </c>
      <c r="H382">
        <f>MONTH(Table1[[#This Row],[Date]])</f>
        <v>8</v>
      </c>
      <c r="I382" s="2">
        <f>WEEKDAY(Table1[[#This Row],[Date]])</f>
        <v>7</v>
      </c>
      <c r="J382">
        <f>Table1[[#This Row],[Credit]]-Table1[[#This Row],[Debit]]</f>
        <v>-5</v>
      </c>
      <c r="K382" s="7" t="str">
        <f>TEXT(Table1[[#This Row],[Date]], "mmm")</f>
        <v>Aug</v>
      </c>
    </row>
    <row r="383" spans="1:11" x14ac:dyDescent="0.3">
      <c r="A383" s="1">
        <v>44436</v>
      </c>
      <c r="B383" t="s">
        <v>21</v>
      </c>
      <c r="C383">
        <v>117</v>
      </c>
      <c r="E383" t="s">
        <v>22</v>
      </c>
      <c r="F383" t="s">
        <v>17</v>
      </c>
      <c r="G383" t="s">
        <v>14</v>
      </c>
      <c r="H383">
        <f>MONTH(Table1[[#This Row],[Date]])</f>
        <v>8</v>
      </c>
      <c r="I383" s="2">
        <f>WEEKDAY(Table1[[#This Row],[Date]])</f>
        <v>7</v>
      </c>
      <c r="J383">
        <f>Table1[[#This Row],[Credit]]-Table1[[#This Row],[Debit]]</f>
        <v>-117</v>
      </c>
      <c r="K383" s="7" t="str">
        <f>TEXT(Table1[[#This Row],[Date]], "mmm")</f>
        <v>Aug</v>
      </c>
    </row>
    <row r="384" spans="1:11" x14ac:dyDescent="0.3">
      <c r="A384" s="1">
        <v>44437</v>
      </c>
      <c r="B384" t="s">
        <v>49</v>
      </c>
      <c r="C384">
        <v>131.9</v>
      </c>
      <c r="E384" t="s">
        <v>30</v>
      </c>
      <c r="F384" t="s">
        <v>28</v>
      </c>
      <c r="G384" t="s">
        <v>14</v>
      </c>
      <c r="H384">
        <f>MONTH(Table1[[#This Row],[Date]])</f>
        <v>8</v>
      </c>
      <c r="I384" s="2">
        <f>WEEKDAY(Table1[[#This Row],[Date]])</f>
        <v>1</v>
      </c>
      <c r="J384">
        <f>Table1[[#This Row],[Credit]]-Table1[[#This Row],[Debit]]</f>
        <v>-131.9</v>
      </c>
      <c r="K384" s="7" t="str">
        <f>TEXT(Table1[[#This Row],[Date]], "mmm")</f>
        <v>Aug</v>
      </c>
    </row>
    <row r="385" spans="1:11" x14ac:dyDescent="0.3">
      <c r="A385" s="1">
        <v>44437</v>
      </c>
      <c r="B385" t="s">
        <v>50</v>
      </c>
      <c r="C385">
        <v>182.39999999999998</v>
      </c>
      <c r="E385" t="s">
        <v>27</v>
      </c>
      <c r="F385" t="s">
        <v>28</v>
      </c>
      <c r="G385" t="s">
        <v>14</v>
      </c>
      <c r="H385">
        <f>MONTH(Table1[[#This Row],[Date]])</f>
        <v>8</v>
      </c>
      <c r="I385" s="2">
        <f>WEEKDAY(Table1[[#This Row],[Date]])</f>
        <v>1</v>
      </c>
      <c r="J385">
        <f>Table1[[#This Row],[Credit]]-Table1[[#This Row],[Debit]]</f>
        <v>-182.39999999999998</v>
      </c>
      <c r="K385" s="7" t="str">
        <f>TEXT(Table1[[#This Row],[Date]], "mmm")</f>
        <v>Aug</v>
      </c>
    </row>
    <row r="386" spans="1:11" x14ac:dyDescent="0.3">
      <c r="A386" s="1">
        <v>44438</v>
      </c>
      <c r="B386" t="s">
        <v>29</v>
      </c>
      <c r="C386">
        <v>152.29999999999998</v>
      </c>
      <c r="E386" t="s">
        <v>30</v>
      </c>
      <c r="F386" t="s">
        <v>28</v>
      </c>
      <c r="G386" t="s">
        <v>14</v>
      </c>
      <c r="H386">
        <f>MONTH(Table1[[#This Row],[Date]])</f>
        <v>8</v>
      </c>
      <c r="I386" s="2">
        <f>WEEKDAY(Table1[[#This Row],[Date]])</f>
        <v>2</v>
      </c>
      <c r="J386">
        <f>Table1[[#This Row],[Credit]]-Table1[[#This Row],[Debit]]</f>
        <v>-152.29999999999998</v>
      </c>
      <c r="K386" s="7" t="str">
        <f>TEXT(Table1[[#This Row],[Date]], "mmm")</f>
        <v>Aug</v>
      </c>
    </row>
    <row r="387" spans="1:11" x14ac:dyDescent="0.3">
      <c r="A387" s="1">
        <v>44438</v>
      </c>
      <c r="B387" t="s">
        <v>33</v>
      </c>
      <c r="C387">
        <v>30.300000000000004</v>
      </c>
      <c r="E387" t="s">
        <v>34</v>
      </c>
      <c r="F387" t="s">
        <v>20</v>
      </c>
      <c r="G387" t="s">
        <v>14</v>
      </c>
      <c r="H387">
        <f>MONTH(Table1[[#This Row],[Date]])</f>
        <v>8</v>
      </c>
      <c r="I387" s="2">
        <f>WEEKDAY(Table1[[#This Row],[Date]])</f>
        <v>2</v>
      </c>
      <c r="J387">
        <f>Table1[[#This Row],[Credit]]-Table1[[#This Row],[Debit]]</f>
        <v>-30.300000000000004</v>
      </c>
      <c r="K387" s="7" t="str">
        <f>TEXT(Table1[[#This Row],[Date]], "mmm")</f>
        <v>Aug</v>
      </c>
    </row>
    <row r="388" spans="1:11" x14ac:dyDescent="0.3">
      <c r="A388" s="1">
        <v>44438</v>
      </c>
      <c r="B388" t="s">
        <v>56</v>
      </c>
      <c r="C388">
        <v>15</v>
      </c>
      <c r="E388" t="s">
        <v>32</v>
      </c>
      <c r="F388" t="s">
        <v>13</v>
      </c>
      <c r="G388" t="s">
        <v>14</v>
      </c>
      <c r="H388">
        <f>MONTH(Table1[[#This Row],[Date]])</f>
        <v>8</v>
      </c>
      <c r="I388" s="2">
        <f>WEEKDAY(Table1[[#This Row],[Date]])</f>
        <v>2</v>
      </c>
      <c r="J388">
        <f>Table1[[#This Row],[Credit]]-Table1[[#This Row],[Debit]]</f>
        <v>-15</v>
      </c>
      <c r="K388" s="7" t="str">
        <f>TEXT(Table1[[#This Row],[Date]], "mmm")</f>
        <v>Aug</v>
      </c>
    </row>
    <row r="389" spans="1:11" x14ac:dyDescent="0.3">
      <c r="A389" s="1">
        <v>44439</v>
      </c>
      <c r="B389" t="s">
        <v>11</v>
      </c>
      <c r="C389">
        <v>5</v>
      </c>
      <c r="E389" t="s">
        <v>12</v>
      </c>
      <c r="F389" t="s">
        <v>13</v>
      </c>
      <c r="G389" t="s">
        <v>14</v>
      </c>
      <c r="H389">
        <f>MONTH(Table1[[#This Row],[Date]])</f>
        <v>8</v>
      </c>
      <c r="I389" s="2">
        <f>WEEKDAY(Table1[[#This Row],[Date]])</f>
        <v>3</v>
      </c>
      <c r="J389">
        <f>Table1[[#This Row],[Credit]]-Table1[[#This Row],[Debit]]</f>
        <v>-5</v>
      </c>
      <c r="K389" s="7" t="str">
        <f>TEXT(Table1[[#This Row],[Date]], "mmm")</f>
        <v>Aug</v>
      </c>
    </row>
    <row r="390" spans="1:11" hidden="1" x14ac:dyDescent="0.3">
      <c r="A390" s="1">
        <v>44441</v>
      </c>
      <c r="B390" t="s">
        <v>11</v>
      </c>
      <c r="C390">
        <v>5</v>
      </c>
      <c r="E390" t="s">
        <v>12</v>
      </c>
      <c r="F390" t="s">
        <v>13</v>
      </c>
      <c r="G390" t="s">
        <v>14</v>
      </c>
      <c r="H390">
        <f>MONTH(Table1[[#This Row],[Date]])</f>
        <v>9</v>
      </c>
      <c r="I390" s="2">
        <f>WEEKDAY(Table1[[#This Row],[Date]])</f>
        <v>5</v>
      </c>
      <c r="J390">
        <f>Table1[[#This Row],[Credit]]-Table1[[#This Row],[Debit]]</f>
        <v>-5</v>
      </c>
      <c r="K390" s="7" t="str">
        <f>TEXT(Table1[[#This Row],[Date]], "mmm")</f>
        <v>Sep</v>
      </c>
    </row>
    <row r="391" spans="1:11" hidden="1" x14ac:dyDescent="0.3">
      <c r="A391" s="1">
        <v>44441</v>
      </c>
      <c r="B391" t="s">
        <v>7</v>
      </c>
      <c r="D391">
        <v>5000</v>
      </c>
      <c r="E391" t="s">
        <v>8</v>
      </c>
      <c r="F391" t="s">
        <v>9</v>
      </c>
      <c r="G391" t="s">
        <v>10</v>
      </c>
      <c r="H391">
        <f>MONTH(Table1[[#This Row],[Date]])</f>
        <v>9</v>
      </c>
      <c r="I391" s="2">
        <f>WEEKDAY(Table1[[#This Row],[Date]])</f>
        <v>5</v>
      </c>
      <c r="J391">
        <f>Table1[[#This Row],[Credit]]-Table1[[#This Row],[Debit]]</f>
        <v>5000</v>
      </c>
      <c r="K391" s="7" t="str">
        <f>TEXT(Table1[[#This Row],[Date]], "mmm")</f>
        <v>Sep</v>
      </c>
    </row>
    <row r="392" spans="1:11" hidden="1" x14ac:dyDescent="0.3">
      <c r="A392" s="1">
        <v>44442</v>
      </c>
      <c r="B392" t="s">
        <v>11</v>
      </c>
      <c r="C392">
        <v>5</v>
      </c>
      <c r="E392" t="s">
        <v>12</v>
      </c>
      <c r="F392" t="s">
        <v>13</v>
      </c>
      <c r="G392" t="s">
        <v>14</v>
      </c>
      <c r="H392">
        <f>MONTH(Table1[[#This Row],[Date]])</f>
        <v>9</v>
      </c>
      <c r="I392" s="2">
        <f>WEEKDAY(Table1[[#This Row],[Date]])</f>
        <v>6</v>
      </c>
      <c r="J392">
        <f>Table1[[#This Row],[Credit]]-Table1[[#This Row],[Debit]]</f>
        <v>-5</v>
      </c>
      <c r="K392" s="7" t="str">
        <f>TEXT(Table1[[#This Row],[Date]], "mmm")</f>
        <v>Sep</v>
      </c>
    </row>
    <row r="393" spans="1:11" hidden="1" x14ac:dyDescent="0.3">
      <c r="A393" s="1">
        <v>44444</v>
      </c>
      <c r="B393" t="s">
        <v>15</v>
      </c>
      <c r="C393">
        <v>900</v>
      </c>
      <c r="E393" t="s">
        <v>16</v>
      </c>
      <c r="F393" t="s">
        <v>17</v>
      </c>
      <c r="G393" t="s">
        <v>14</v>
      </c>
      <c r="H393">
        <f>MONTH(Table1[[#This Row],[Date]])</f>
        <v>9</v>
      </c>
      <c r="I393" s="2">
        <f>WEEKDAY(Table1[[#This Row],[Date]])</f>
        <v>1</v>
      </c>
      <c r="J393">
        <f>Table1[[#This Row],[Credit]]-Table1[[#This Row],[Debit]]</f>
        <v>-900</v>
      </c>
      <c r="K393" s="7" t="str">
        <f>TEXT(Table1[[#This Row],[Date]], "mmm")</f>
        <v>Sep</v>
      </c>
    </row>
    <row r="394" spans="1:11" hidden="1" x14ac:dyDescent="0.3">
      <c r="A394" s="1">
        <v>44444</v>
      </c>
      <c r="B394" t="s">
        <v>18</v>
      </c>
      <c r="C394">
        <v>150</v>
      </c>
      <c r="E394" t="s">
        <v>19</v>
      </c>
      <c r="F394" t="s">
        <v>20</v>
      </c>
      <c r="G394" t="s">
        <v>14</v>
      </c>
      <c r="H394">
        <f>MONTH(Table1[[#This Row],[Date]])</f>
        <v>9</v>
      </c>
      <c r="I394" s="2">
        <f>WEEKDAY(Table1[[#This Row],[Date]])</f>
        <v>1</v>
      </c>
      <c r="J394">
        <f>Table1[[#This Row],[Credit]]-Table1[[#This Row],[Debit]]</f>
        <v>-150</v>
      </c>
      <c r="K394" s="7" t="str">
        <f>TEXT(Table1[[#This Row],[Date]], "mmm")</f>
        <v>Sep</v>
      </c>
    </row>
    <row r="395" spans="1:11" hidden="1" x14ac:dyDescent="0.3">
      <c r="A395" s="1">
        <v>44444</v>
      </c>
      <c r="B395" t="s">
        <v>11</v>
      </c>
      <c r="C395">
        <v>5</v>
      </c>
      <c r="E395" t="s">
        <v>12</v>
      </c>
      <c r="F395" t="s">
        <v>13</v>
      </c>
      <c r="G395" t="s">
        <v>14</v>
      </c>
      <c r="H395">
        <f>MONTH(Table1[[#This Row],[Date]])</f>
        <v>9</v>
      </c>
      <c r="I395" s="2">
        <f>WEEKDAY(Table1[[#This Row],[Date]])</f>
        <v>1</v>
      </c>
      <c r="J395">
        <f>Table1[[#This Row],[Credit]]-Table1[[#This Row],[Debit]]</f>
        <v>-5</v>
      </c>
      <c r="K395" s="7" t="str">
        <f>TEXT(Table1[[#This Row],[Date]], "mmm")</f>
        <v>Sep</v>
      </c>
    </row>
    <row r="396" spans="1:11" hidden="1" x14ac:dyDescent="0.3">
      <c r="A396" s="1">
        <v>44444</v>
      </c>
      <c r="B396" t="s">
        <v>11</v>
      </c>
      <c r="C396">
        <v>5</v>
      </c>
      <c r="E396" t="s">
        <v>12</v>
      </c>
      <c r="F396" t="s">
        <v>13</v>
      </c>
      <c r="G396" t="s">
        <v>14</v>
      </c>
      <c r="H396">
        <f>MONTH(Table1[[#This Row],[Date]])</f>
        <v>9</v>
      </c>
      <c r="I396" s="2">
        <f>WEEKDAY(Table1[[#This Row],[Date]])</f>
        <v>1</v>
      </c>
      <c r="J396">
        <f>Table1[[#This Row],[Credit]]-Table1[[#This Row],[Debit]]</f>
        <v>-5</v>
      </c>
      <c r="K396" s="7" t="str">
        <f>TEXT(Table1[[#This Row],[Date]], "mmm")</f>
        <v>Sep</v>
      </c>
    </row>
    <row r="397" spans="1:11" hidden="1" x14ac:dyDescent="0.3">
      <c r="A397" s="1">
        <v>44445</v>
      </c>
      <c r="B397" t="s">
        <v>11</v>
      </c>
      <c r="C397">
        <v>5</v>
      </c>
      <c r="E397" t="s">
        <v>12</v>
      </c>
      <c r="F397" t="s">
        <v>13</v>
      </c>
      <c r="G397" t="s">
        <v>14</v>
      </c>
      <c r="H397">
        <f>MONTH(Table1[[#This Row],[Date]])</f>
        <v>9</v>
      </c>
      <c r="I397" s="2">
        <f>WEEKDAY(Table1[[#This Row],[Date]])</f>
        <v>2</v>
      </c>
      <c r="J397">
        <f>Table1[[#This Row],[Credit]]-Table1[[#This Row],[Debit]]</f>
        <v>-5</v>
      </c>
      <c r="K397" s="7" t="str">
        <f>TEXT(Table1[[#This Row],[Date]], "mmm")</f>
        <v>Sep</v>
      </c>
    </row>
    <row r="398" spans="1:11" hidden="1" x14ac:dyDescent="0.3">
      <c r="A398" s="1">
        <v>44446</v>
      </c>
      <c r="B398" t="s">
        <v>11</v>
      </c>
      <c r="C398">
        <v>5</v>
      </c>
      <c r="E398" t="s">
        <v>12</v>
      </c>
      <c r="F398" t="s">
        <v>13</v>
      </c>
      <c r="G398" t="s">
        <v>14</v>
      </c>
      <c r="H398">
        <f>MONTH(Table1[[#This Row],[Date]])</f>
        <v>9</v>
      </c>
      <c r="I398" s="2">
        <f>WEEKDAY(Table1[[#This Row],[Date]])</f>
        <v>3</v>
      </c>
      <c r="J398">
        <f>Table1[[#This Row],[Credit]]-Table1[[#This Row],[Debit]]</f>
        <v>-5</v>
      </c>
      <c r="K398" s="7" t="str">
        <f>TEXT(Table1[[#This Row],[Date]], "mmm")</f>
        <v>Sep</v>
      </c>
    </row>
    <row r="399" spans="1:11" hidden="1" x14ac:dyDescent="0.3">
      <c r="A399" s="1">
        <v>44446</v>
      </c>
      <c r="B399" t="s">
        <v>21</v>
      </c>
      <c r="C399">
        <v>163.39999999999998</v>
      </c>
      <c r="E399" t="s">
        <v>22</v>
      </c>
      <c r="F399" t="s">
        <v>17</v>
      </c>
      <c r="G399" t="s">
        <v>14</v>
      </c>
      <c r="H399">
        <f>MONTH(Table1[[#This Row],[Date]])</f>
        <v>9</v>
      </c>
      <c r="I399" s="2">
        <f>WEEKDAY(Table1[[#This Row],[Date]])</f>
        <v>3</v>
      </c>
      <c r="J399">
        <f>Table1[[#This Row],[Credit]]-Table1[[#This Row],[Debit]]</f>
        <v>-163.39999999999998</v>
      </c>
      <c r="K399" s="7" t="str">
        <f>TEXT(Table1[[#This Row],[Date]], "mmm")</f>
        <v>Sep</v>
      </c>
    </row>
    <row r="400" spans="1:11" hidden="1" x14ac:dyDescent="0.3">
      <c r="A400" s="1">
        <v>44449</v>
      </c>
      <c r="B400" t="s">
        <v>23</v>
      </c>
      <c r="C400">
        <v>58.1</v>
      </c>
      <c r="E400" t="s">
        <v>24</v>
      </c>
      <c r="F400" t="s">
        <v>17</v>
      </c>
      <c r="G400" t="s">
        <v>14</v>
      </c>
      <c r="H400">
        <f>MONTH(Table1[[#This Row],[Date]])</f>
        <v>9</v>
      </c>
      <c r="I400" s="2">
        <f>WEEKDAY(Table1[[#This Row],[Date]])</f>
        <v>6</v>
      </c>
      <c r="J400">
        <f>Table1[[#This Row],[Credit]]-Table1[[#This Row],[Debit]]</f>
        <v>-58.1</v>
      </c>
      <c r="K400" s="7" t="str">
        <f>TEXT(Table1[[#This Row],[Date]], "mmm")</f>
        <v>Sep</v>
      </c>
    </row>
    <row r="401" spans="1:11" hidden="1" x14ac:dyDescent="0.3">
      <c r="A401" s="1">
        <v>44449</v>
      </c>
      <c r="B401" t="s">
        <v>11</v>
      </c>
      <c r="C401">
        <v>5</v>
      </c>
      <c r="E401" t="s">
        <v>12</v>
      </c>
      <c r="F401" t="s">
        <v>13</v>
      </c>
      <c r="G401" t="s">
        <v>14</v>
      </c>
      <c r="H401">
        <f>MONTH(Table1[[#This Row],[Date]])</f>
        <v>9</v>
      </c>
      <c r="I401" s="2">
        <f>WEEKDAY(Table1[[#This Row],[Date]])</f>
        <v>6</v>
      </c>
      <c r="J401">
        <f>Table1[[#This Row],[Credit]]-Table1[[#This Row],[Debit]]</f>
        <v>-5</v>
      </c>
      <c r="K401" s="7" t="str">
        <f>TEXT(Table1[[#This Row],[Date]], "mmm")</f>
        <v>Sep</v>
      </c>
    </row>
    <row r="402" spans="1:11" hidden="1" x14ac:dyDescent="0.3">
      <c r="A402" s="1">
        <v>44450</v>
      </c>
      <c r="B402" t="s">
        <v>11</v>
      </c>
      <c r="C402">
        <v>5</v>
      </c>
      <c r="E402" t="s">
        <v>12</v>
      </c>
      <c r="F402" t="s">
        <v>13</v>
      </c>
      <c r="G402" t="s">
        <v>14</v>
      </c>
      <c r="H402">
        <f>MONTH(Table1[[#This Row],[Date]])</f>
        <v>9</v>
      </c>
      <c r="I402" s="2">
        <f>WEEKDAY(Table1[[#This Row],[Date]])</f>
        <v>7</v>
      </c>
      <c r="J402">
        <f>Table1[[#This Row],[Credit]]-Table1[[#This Row],[Debit]]</f>
        <v>-5</v>
      </c>
      <c r="K402" s="7" t="str">
        <f>TEXT(Table1[[#This Row],[Date]], "mmm")</f>
        <v>Sep</v>
      </c>
    </row>
    <row r="403" spans="1:11" hidden="1" x14ac:dyDescent="0.3">
      <c r="A403" s="1">
        <v>44451</v>
      </c>
      <c r="B403" t="s">
        <v>25</v>
      </c>
      <c r="C403">
        <v>85.299999999999983</v>
      </c>
      <c r="E403" t="s">
        <v>48</v>
      </c>
      <c r="F403" t="s">
        <v>20</v>
      </c>
      <c r="G403" t="s">
        <v>14</v>
      </c>
      <c r="H403">
        <f>MONTH(Table1[[#This Row],[Date]])</f>
        <v>9</v>
      </c>
      <c r="I403" s="2">
        <f>WEEKDAY(Table1[[#This Row],[Date]])</f>
        <v>1</v>
      </c>
      <c r="J403">
        <f>Table1[[#This Row],[Credit]]-Table1[[#This Row],[Debit]]</f>
        <v>-85.299999999999983</v>
      </c>
      <c r="K403" s="7" t="str">
        <f>TEXT(Table1[[#This Row],[Date]], "mmm")</f>
        <v>Sep</v>
      </c>
    </row>
    <row r="404" spans="1:11" hidden="1" x14ac:dyDescent="0.3">
      <c r="A404" s="1">
        <v>44451</v>
      </c>
      <c r="B404" t="s">
        <v>11</v>
      </c>
      <c r="C404">
        <v>5</v>
      </c>
      <c r="E404" t="s">
        <v>12</v>
      </c>
      <c r="F404" t="s">
        <v>13</v>
      </c>
      <c r="G404" t="s">
        <v>14</v>
      </c>
      <c r="H404">
        <f>MONTH(Table1[[#This Row],[Date]])</f>
        <v>9</v>
      </c>
      <c r="I404" s="2">
        <f>WEEKDAY(Table1[[#This Row],[Date]])</f>
        <v>1</v>
      </c>
      <c r="J404">
        <f>Table1[[#This Row],[Credit]]-Table1[[#This Row],[Debit]]</f>
        <v>-5</v>
      </c>
      <c r="K404" s="7" t="str">
        <f>TEXT(Table1[[#This Row],[Date]], "mmm")</f>
        <v>Sep</v>
      </c>
    </row>
    <row r="405" spans="1:11" hidden="1" x14ac:dyDescent="0.3">
      <c r="A405" s="1">
        <v>44452</v>
      </c>
      <c r="B405" t="s">
        <v>11</v>
      </c>
      <c r="C405">
        <v>5</v>
      </c>
      <c r="E405" t="s">
        <v>12</v>
      </c>
      <c r="F405" t="s">
        <v>13</v>
      </c>
      <c r="G405" t="s">
        <v>14</v>
      </c>
      <c r="H405">
        <f>MONTH(Table1[[#This Row],[Date]])</f>
        <v>9</v>
      </c>
      <c r="I405" s="2">
        <f>WEEKDAY(Table1[[#This Row],[Date]])</f>
        <v>2</v>
      </c>
      <c r="J405">
        <f>Table1[[#This Row],[Credit]]-Table1[[#This Row],[Debit]]</f>
        <v>-5</v>
      </c>
      <c r="K405" s="7" t="str">
        <f>TEXT(Table1[[#This Row],[Date]], "mmm")</f>
        <v>Sep</v>
      </c>
    </row>
    <row r="406" spans="1:11" hidden="1" x14ac:dyDescent="0.3">
      <c r="A406" s="1">
        <v>44453</v>
      </c>
      <c r="B406" t="s">
        <v>21</v>
      </c>
      <c r="C406">
        <v>143</v>
      </c>
      <c r="E406" t="s">
        <v>22</v>
      </c>
      <c r="F406" t="s">
        <v>17</v>
      </c>
      <c r="G406" t="s">
        <v>14</v>
      </c>
      <c r="H406">
        <f>MONTH(Table1[[#This Row],[Date]])</f>
        <v>9</v>
      </c>
      <c r="I406" s="2">
        <f>WEEKDAY(Table1[[#This Row],[Date]])</f>
        <v>3</v>
      </c>
      <c r="J406">
        <f>Table1[[#This Row],[Credit]]-Table1[[#This Row],[Debit]]</f>
        <v>-143</v>
      </c>
      <c r="K406" s="7" t="str">
        <f>TEXT(Table1[[#This Row],[Date]], "mmm")</f>
        <v>Sep</v>
      </c>
    </row>
    <row r="407" spans="1:11" hidden="1" x14ac:dyDescent="0.3">
      <c r="A407" s="1">
        <v>44453</v>
      </c>
      <c r="B407" t="s">
        <v>11</v>
      </c>
      <c r="C407">
        <v>5</v>
      </c>
      <c r="E407" t="s">
        <v>12</v>
      </c>
      <c r="F407" t="s">
        <v>13</v>
      </c>
      <c r="G407" t="s">
        <v>14</v>
      </c>
      <c r="H407">
        <f>MONTH(Table1[[#This Row],[Date]])</f>
        <v>9</v>
      </c>
      <c r="I407" s="2">
        <f>WEEKDAY(Table1[[#This Row],[Date]])</f>
        <v>3</v>
      </c>
      <c r="J407">
        <f>Table1[[#This Row],[Credit]]-Table1[[#This Row],[Debit]]</f>
        <v>-5</v>
      </c>
      <c r="K407" s="7" t="str">
        <f>TEXT(Table1[[#This Row],[Date]], "mmm")</f>
        <v>Sep</v>
      </c>
    </row>
    <row r="408" spans="1:11" hidden="1" x14ac:dyDescent="0.3">
      <c r="A408" s="1">
        <v>44454</v>
      </c>
      <c r="B408" t="s">
        <v>11</v>
      </c>
      <c r="C408">
        <v>5</v>
      </c>
      <c r="E408" t="s">
        <v>12</v>
      </c>
      <c r="F408" t="s">
        <v>13</v>
      </c>
      <c r="G408" t="s">
        <v>14</v>
      </c>
      <c r="H408">
        <f>MONTH(Table1[[#This Row],[Date]])</f>
        <v>9</v>
      </c>
      <c r="I408" s="2">
        <f>WEEKDAY(Table1[[#This Row],[Date]])</f>
        <v>4</v>
      </c>
      <c r="J408">
        <f>Table1[[#This Row],[Credit]]-Table1[[#This Row],[Debit]]</f>
        <v>-5</v>
      </c>
      <c r="K408" s="7" t="str">
        <f>TEXT(Table1[[#This Row],[Date]], "mmm")</f>
        <v>Sep</v>
      </c>
    </row>
    <row r="409" spans="1:11" hidden="1" x14ac:dyDescent="0.3">
      <c r="A409" s="1">
        <v>44454</v>
      </c>
      <c r="B409" t="s">
        <v>26</v>
      </c>
      <c r="C409">
        <v>47.8</v>
      </c>
      <c r="E409" t="s">
        <v>27</v>
      </c>
      <c r="F409" t="s">
        <v>28</v>
      </c>
      <c r="G409" t="s">
        <v>14</v>
      </c>
      <c r="H409">
        <f>MONTH(Table1[[#This Row],[Date]])</f>
        <v>9</v>
      </c>
      <c r="I409" s="2">
        <f>WEEKDAY(Table1[[#This Row],[Date]])</f>
        <v>4</v>
      </c>
      <c r="J409">
        <f>Table1[[#This Row],[Credit]]-Table1[[#This Row],[Debit]]</f>
        <v>-47.8</v>
      </c>
      <c r="K409" s="7" t="str">
        <f>TEXT(Table1[[#This Row],[Date]], "mmm")</f>
        <v>Sep</v>
      </c>
    </row>
    <row r="410" spans="1:11" hidden="1" x14ac:dyDescent="0.3">
      <c r="A410" s="1">
        <v>44454</v>
      </c>
      <c r="B410" t="s">
        <v>29</v>
      </c>
      <c r="C410">
        <v>105.80000000000001</v>
      </c>
      <c r="E410" t="s">
        <v>30</v>
      </c>
      <c r="F410" t="s">
        <v>28</v>
      </c>
      <c r="G410" t="s">
        <v>14</v>
      </c>
      <c r="H410">
        <f>MONTH(Table1[[#This Row],[Date]])</f>
        <v>9</v>
      </c>
      <c r="I410" s="2">
        <f>WEEKDAY(Table1[[#This Row],[Date]])</f>
        <v>4</v>
      </c>
      <c r="J410">
        <f>Table1[[#This Row],[Credit]]-Table1[[#This Row],[Debit]]</f>
        <v>-105.80000000000001</v>
      </c>
      <c r="K410" s="7" t="str">
        <f>TEXT(Table1[[#This Row],[Date]], "mmm")</f>
        <v>Sep</v>
      </c>
    </row>
    <row r="411" spans="1:11" hidden="1" x14ac:dyDescent="0.3">
      <c r="A411" s="1">
        <v>44454</v>
      </c>
      <c r="B411" t="s">
        <v>31</v>
      </c>
      <c r="C411">
        <v>60.1</v>
      </c>
      <c r="E411" t="s">
        <v>32</v>
      </c>
      <c r="F411" t="s">
        <v>13</v>
      </c>
      <c r="G411" t="s">
        <v>14</v>
      </c>
      <c r="H411">
        <f>MONTH(Table1[[#This Row],[Date]])</f>
        <v>9</v>
      </c>
      <c r="I411" s="2">
        <f>WEEKDAY(Table1[[#This Row],[Date]])</f>
        <v>4</v>
      </c>
      <c r="J411">
        <f>Table1[[#This Row],[Credit]]-Table1[[#This Row],[Debit]]</f>
        <v>-60.1</v>
      </c>
      <c r="K411" s="7" t="str">
        <f>TEXT(Table1[[#This Row],[Date]], "mmm")</f>
        <v>Sep</v>
      </c>
    </row>
    <row r="412" spans="1:11" hidden="1" x14ac:dyDescent="0.3">
      <c r="A412" s="1">
        <v>44455</v>
      </c>
      <c r="B412" t="s">
        <v>33</v>
      </c>
      <c r="C412">
        <v>36.200000000000003</v>
      </c>
      <c r="E412" t="s">
        <v>34</v>
      </c>
      <c r="F412" t="s">
        <v>20</v>
      </c>
      <c r="G412" t="s">
        <v>14</v>
      </c>
      <c r="H412">
        <f>MONTH(Table1[[#This Row],[Date]])</f>
        <v>9</v>
      </c>
      <c r="I412" s="2">
        <f>WEEKDAY(Table1[[#This Row],[Date]])</f>
        <v>5</v>
      </c>
      <c r="J412">
        <f>Table1[[#This Row],[Credit]]-Table1[[#This Row],[Debit]]</f>
        <v>-36.200000000000003</v>
      </c>
      <c r="K412" s="7" t="str">
        <f>TEXT(Table1[[#This Row],[Date]], "mmm")</f>
        <v>Sep</v>
      </c>
    </row>
    <row r="413" spans="1:11" hidden="1" x14ac:dyDescent="0.3">
      <c r="A413" s="1">
        <v>44456</v>
      </c>
      <c r="B413" t="s">
        <v>35</v>
      </c>
      <c r="D413">
        <v>100</v>
      </c>
      <c r="E413" t="s">
        <v>36</v>
      </c>
      <c r="F413" t="s">
        <v>37</v>
      </c>
      <c r="G413" t="s">
        <v>10</v>
      </c>
      <c r="H413">
        <f>MONTH(Table1[[#This Row],[Date]])</f>
        <v>9</v>
      </c>
      <c r="I413" s="2">
        <f>WEEKDAY(Table1[[#This Row],[Date]])</f>
        <v>6</v>
      </c>
      <c r="J413">
        <f>Table1[[#This Row],[Credit]]-Table1[[#This Row],[Debit]]</f>
        <v>100</v>
      </c>
      <c r="K413" s="7" t="str">
        <f>TEXT(Table1[[#This Row],[Date]], "mmm")</f>
        <v>Sep</v>
      </c>
    </row>
    <row r="414" spans="1:11" hidden="1" x14ac:dyDescent="0.3">
      <c r="A414" s="1">
        <v>44456</v>
      </c>
      <c r="B414" t="s">
        <v>11</v>
      </c>
      <c r="C414">
        <v>5</v>
      </c>
      <c r="E414" t="s">
        <v>12</v>
      </c>
      <c r="F414" t="s">
        <v>13</v>
      </c>
      <c r="G414" t="s">
        <v>14</v>
      </c>
      <c r="H414">
        <f>MONTH(Table1[[#This Row],[Date]])</f>
        <v>9</v>
      </c>
      <c r="I414" s="2">
        <f>WEEKDAY(Table1[[#This Row],[Date]])</f>
        <v>6</v>
      </c>
      <c r="J414">
        <f>Table1[[#This Row],[Credit]]-Table1[[#This Row],[Debit]]</f>
        <v>-5</v>
      </c>
      <c r="K414" s="7" t="str">
        <f>TEXT(Table1[[#This Row],[Date]], "mmm")</f>
        <v>Sep</v>
      </c>
    </row>
    <row r="415" spans="1:11" hidden="1" x14ac:dyDescent="0.3">
      <c r="A415" s="1">
        <v>44457</v>
      </c>
      <c r="B415" t="s">
        <v>11</v>
      </c>
      <c r="C415">
        <v>5</v>
      </c>
      <c r="E415" t="s">
        <v>12</v>
      </c>
      <c r="F415" t="s">
        <v>13</v>
      </c>
      <c r="G415" t="s">
        <v>14</v>
      </c>
      <c r="H415">
        <f>MONTH(Table1[[#This Row],[Date]])</f>
        <v>9</v>
      </c>
      <c r="I415" s="2">
        <f>WEEKDAY(Table1[[#This Row],[Date]])</f>
        <v>7</v>
      </c>
      <c r="J415">
        <f>Table1[[#This Row],[Credit]]-Table1[[#This Row],[Debit]]</f>
        <v>-5</v>
      </c>
      <c r="K415" s="7" t="str">
        <f>TEXT(Table1[[#This Row],[Date]], "mmm")</f>
        <v>Sep</v>
      </c>
    </row>
    <row r="416" spans="1:11" hidden="1" x14ac:dyDescent="0.3">
      <c r="A416" s="1">
        <v>44457</v>
      </c>
      <c r="B416" t="s">
        <v>39</v>
      </c>
      <c r="C416">
        <v>40</v>
      </c>
      <c r="E416" t="s">
        <v>39</v>
      </c>
      <c r="F416" t="s">
        <v>17</v>
      </c>
      <c r="G416" t="s">
        <v>14</v>
      </c>
      <c r="H416">
        <f>MONTH(Table1[[#This Row],[Date]])</f>
        <v>9</v>
      </c>
      <c r="I416" s="2">
        <f>WEEKDAY(Table1[[#This Row],[Date]])</f>
        <v>7</v>
      </c>
      <c r="J416">
        <f>Table1[[#This Row],[Credit]]-Table1[[#This Row],[Debit]]</f>
        <v>-40</v>
      </c>
      <c r="K416" s="7" t="str">
        <f>TEXT(Table1[[#This Row],[Date]], "mmm")</f>
        <v>Sep</v>
      </c>
    </row>
    <row r="417" spans="1:11" hidden="1" x14ac:dyDescent="0.3">
      <c r="A417" s="1">
        <v>44458</v>
      </c>
      <c r="B417" t="s">
        <v>40</v>
      </c>
      <c r="C417">
        <v>53</v>
      </c>
      <c r="E417" t="s">
        <v>41</v>
      </c>
      <c r="F417" t="s">
        <v>28</v>
      </c>
      <c r="G417" t="s">
        <v>14</v>
      </c>
      <c r="H417">
        <f>MONTH(Table1[[#This Row],[Date]])</f>
        <v>9</v>
      </c>
      <c r="I417" s="2">
        <f>WEEKDAY(Table1[[#This Row],[Date]])</f>
        <v>1</v>
      </c>
      <c r="J417">
        <f>Table1[[#This Row],[Credit]]-Table1[[#This Row],[Debit]]</f>
        <v>-53</v>
      </c>
      <c r="K417" s="7" t="str">
        <f>TEXT(Table1[[#This Row],[Date]], "mmm")</f>
        <v>Sep</v>
      </c>
    </row>
    <row r="418" spans="1:11" hidden="1" x14ac:dyDescent="0.3">
      <c r="A418" s="1">
        <v>44458</v>
      </c>
      <c r="B418" t="s">
        <v>42</v>
      </c>
      <c r="C418">
        <v>35</v>
      </c>
      <c r="E418" t="s">
        <v>27</v>
      </c>
      <c r="F418" t="s">
        <v>28</v>
      </c>
      <c r="G418" t="s">
        <v>14</v>
      </c>
      <c r="H418">
        <f>MONTH(Table1[[#This Row],[Date]])</f>
        <v>9</v>
      </c>
      <c r="I418" s="2">
        <f>WEEKDAY(Table1[[#This Row],[Date]])</f>
        <v>1</v>
      </c>
      <c r="J418">
        <f>Table1[[#This Row],[Credit]]-Table1[[#This Row],[Debit]]</f>
        <v>-35</v>
      </c>
      <c r="K418" s="7" t="str">
        <f>TEXT(Table1[[#This Row],[Date]], "mmm")</f>
        <v>Sep</v>
      </c>
    </row>
    <row r="419" spans="1:11" hidden="1" x14ac:dyDescent="0.3">
      <c r="A419" s="1">
        <v>44458</v>
      </c>
      <c r="B419" t="s">
        <v>11</v>
      </c>
      <c r="C419">
        <v>5</v>
      </c>
      <c r="E419" t="s">
        <v>12</v>
      </c>
      <c r="F419" t="s">
        <v>13</v>
      </c>
      <c r="G419" t="s">
        <v>14</v>
      </c>
      <c r="H419">
        <f>MONTH(Table1[[#This Row],[Date]])</f>
        <v>9</v>
      </c>
      <c r="I419" s="2">
        <f>WEEKDAY(Table1[[#This Row],[Date]])</f>
        <v>1</v>
      </c>
      <c r="J419">
        <f>Table1[[#This Row],[Credit]]-Table1[[#This Row],[Debit]]</f>
        <v>-5</v>
      </c>
      <c r="K419" s="7" t="str">
        <f>TEXT(Table1[[#This Row],[Date]], "mmm")</f>
        <v>Sep</v>
      </c>
    </row>
    <row r="420" spans="1:11" hidden="1" x14ac:dyDescent="0.3">
      <c r="A420" s="1">
        <v>44459</v>
      </c>
      <c r="B420" t="s">
        <v>11</v>
      </c>
      <c r="C420">
        <v>5</v>
      </c>
      <c r="E420" t="s">
        <v>12</v>
      </c>
      <c r="F420" t="s">
        <v>13</v>
      </c>
      <c r="G420" t="s">
        <v>14</v>
      </c>
      <c r="H420">
        <f>MONTH(Table1[[#This Row],[Date]])</f>
        <v>9</v>
      </c>
      <c r="I420" s="2">
        <f>WEEKDAY(Table1[[#This Row],[Date]])</f>
        <v>2</v>
      </c>
      <c r="J420">
        <f>Table1[[#This Row],[Credit]]-Table1[[#This Row],[Debit]]</f>
        <v>-5</v>
      </c>
      <c r="K420" s="7" t="str">
        <f>TEXT(Table1[[#This Row],[Date]], "mmm")</f>
        <v>Sep</v>
      </c>
    </row>
    <row r="421" spans="1:11" hidden="1" x14ac:dyDescent="0.3">
      <c r="A421" s="1">
        <v>44460</v>
      </c>
      <c r="B421" t="s">
        <v>11</v>
      </c>
      <c r="C421">
        <v>5</v>
      </c>
      <c r="E421" t="s">
        <v>12</v>
      </c>
      <c r="F421" t="s">
        <v>13</v>
      </c>
      <c r="G421" t="s">
        <v>14</v>
      </c>
      <c r="H421">
        <f>MONTH(Table1[[#This Row],[Date]])</f>
        <v>9</v>
      </c>
      <c r="I421" s="2">
        <f>WEEKDAY(Table1[[#This Row],[Date]])</f>
        <v>3</v>
      </c>
      <c r="J421">
        <f>Table1[[#This Row],[Credit]]-Table1[[#This Row],[Debit]]</f>
        <v>-5</v>
      </c>
      <c r="K421" s="7" t="str">
        <f>TEXT(Table1[[#This Row],[Date]], "mmm")</f>
        <v>Sep</v>
      </c>
    </row>
    <row r="422" spans="1:11" hidden="1" x14ac:dyDescent="0.3">
      <c r="A422" s="1">
        <v>44460</v>
      </c>
      <c r="B422" t="s">
        <v>21</v>
      </c>
      <c r="C422">
        <v>177.9</v>
      </c>
      <c r="E422" t="s">
        <v>22</v>
      </c>
      <c r="F422" t="s">
        <v>17</v>
      </c>
      <c r="G422" t="s">
        <v>14</v>
      </c>
      <c r="H422">
        <f>MONTH(Table1[[#This Row],[Date]])</f>
        <v>9</v>
      </c>
      <c r="I422" s="2">
        <f>WEEKDAY(Table1[[#This Row],[Date]])</f>
        <v>3</v>
      </c>
      <c r="J422">
        <f>Table1[[#This Row],[Credit]]-Table1[[#This Row],[Debit]]</f>
        <v>-177.9</v>
      </c>
      <c r="K422" s="7" t="str">
        <f>TEXT(Table1[[#This Row],[Date]], "mmm")</f>
        <v>Sep</v>
      </c>
    </row>
    <row r="423" spans="1:11" hidden="1" x14ac:dyDescent="0.3">
      <c r="A423" s="1">
        <v>44461</v>
      </c>
      <c r="B423" t="s">
        <v>43</v>
      </c>
      <c r="C423">
        <v>45.300000000000004</v>
      </c>
      <c r="E423" t="s">
        <v>32</v>
      </c>
      <c r="F423" t="s">
        <v>13</v>
      </c>
      <c r="G423" t="s">
        <v>14</v>
      </c>
      <c r="H423">
        <f>MONTH(Table1[[#This Row],[Date]])</f>
        <v>9</v>
      </c>
      <c r="I423" s="2">
        <f>WEEKDAY(Table1[[#This Row],[Date]])</f>
        <v>4</v>
      </c>
      <c r="J423">
        <f>Table1[[#This Row],[Credit]]-Table1[[#This Row],[Debit]]</f>
        <v>-45.300000000000004</v>
      </c>
      <c r="K423" s="7" t="str">
        <f>TEXT(Table1[[#This Row],[Date]], "mmm")</f>
        <v>Sep</v>
      </c>
    </row>
    <row r="424" spans="1:11" hidden="1" x14ac:dyDescent="0.3">
      <c r="A424" s="1">
        <v>44462</v>
      </c>
      <c r="B424" t="s">
        <v>44</v>
      </c>
      <c r="C424">
        <v>20.099999999999998</v>
      </c>
      <c r="E424" t="s">
        <v>32</v>
      </c>
      <c r="F424" t="s">
        <v>13</v>
      </c>
      <c r="G424" t="s">
        <v>14</v>
      </c>
      <c r="H424">
        <f>MONTH(Table1[[#This Row],[Date]])</f>
        <v>9</v>
      </c>
      <c r="I424" s="2">
        <f>WEEKDAY(Table1[[#This Row],[Date]])</f>
        <v>5</v>
      </c>
      <c r="J424">
        <f>Table1[[#This Row],[Credit]]-Table1[[#This Row],[Debit]]</f>
        <v>-20.099999999999998</v>
      </c>
      <c r="K424" s="7" t="str">
        <f>TEXT(Table1[[#This Row],[Date]], "mmm")</f>
        <v>Sep</v>
      </c>
    </row>
    <row r="425" spans="1:11" hidden="1" x14ac:dyDescent="0.3">
      <c r="A425" s="1">
        <v>44463</v>
      </c>
      <c r="B425" t="s">
        <v>45</v>
      </c>
      <c r="C425">
        <v>55</v>
      </c>
      <c r="E425" t="s">
        <v>46</v>
      </c>
      <c r="F425" t="s">
        <v>47</v>
      </c>
      <c r="G425" t="s">
        <v>14</v>
      </c>
      <c r="H425">
        <f>MONTH(Table1[[#This Row],[Date]])</f>
        <v>9</v>
      </c>
      <c r="I425" s="2">
        <f>WEEKDAY(Table1[[#This Row],[Date]])</f>
        <v>6</v>
      </c>
      <c r="J425">
        <f>Table1[[#This Row],[Credit]]-Table1[[#This Row],[Debit]]</f>
        <v>-55</v>
      </c>
      <c r="K425" s="7" t="str">
        <f>TEXT(Table1[[#This Row],[Date]], "mmm")</f>
        <v>Sep</v>
      </c>
    </row>
    <row r="426" spans="1:11" hidden="1" x14ac:dyDescent="0.3">
      <c r="A426" s="1">
        <v>44463</v>
      </c>
      <c r="B426" t="s">
        <v>25</v>
      </c>
      <c r="C426">
        <v>70.600000000000023</v>
      </c>
      <c r="E426" t="s">
        <v>48</v>
      </c>
      <c r="F426" t="s">
        <v>20</v>
      </c>
      <c r="G426" t="s">
        <v>14</v>
      </c>
      <c r="H426">
        <f>MONTH(Table1[[#This Row],[Date]])</f>
        <v>9</v>
      </c>
      <c r="I426" s="2">
        <f>WEEKDAY(Table1[[#This Row],[Date]])</f>
        <v>6</v>
      </c>
      <c r="J426">
        <f>Table1[[#This Row],[Credit]]-Table1[[#This Row],[Debit]]</f>
        <v>-70.600000000000023</v>
      </c>
      <c r="K426" s="7" t="str">
        <f>TEXT(Table1[[#This Row],[Date]], "mmm")</f>
        <v>Sep</v>
      </c>
    </row>
    <row r="427" spans="1:11" hidden="1" x14ac:dyDescent="0.3">
      <c r="A427" s="1">
        <v>44463</v>
      </c>
      <c r="B427" t="s">
        <v>11</v>
      </c>
      <c r="C427">
        <v>5</v>
      </c>
      <c r="E427" t="s">
        <v>12</v>
      </c>
      <c r="F427" t="s">
        <v>13</v>
      </c>
      <c r="G427" t="s">
        <v>14</v>
      </c>
      <c r="H427">
        <f>MONTH(Table1[[#This Row],[Date]])</f>
        <v>9</v>
      </c>
      <c r="I427" s="2">
        <f>WEEKDAY(Table1[[#This Row],[Date]])</f>
        <v>6</v>
      </c>
      <c r="J427">
        <f>Table1[[#This Row],[Credit]]-Table1[[#This Row],[Debit]]</f>
        <v>-5</v>
      </c>
      <c r="K427" s="7" t="str">
        <f>TEXT(Table1[[#This Row],[Date]], "mmm")</f>
        <v>Sep</v>
      </c>
    </row>
    <row r="428" spans="1:11" hidden="1" x14ac:dyDescent="0.3">
      <c r="A428" s="1">
        <v>44464</v>
      </c>
      <c r="B428" t="s">
        <v>11</v>
      </c>
      <c r="C428">
        <v>5</v>
      </c>
      <c r="E428" t="s">
        <v>12</v>
      </c>
      <c r="F428" t="s">
        <v>13</v>
      </c>
      <c r="G428" t="s">
        <v>14</v>
      </c>
      <c r="H428">
        <f>MONTH(Table1[[#This Row],[Date]])</f>
        <v>9</v>
      </c>
      <c r="I428" s="2">
        <f>WEEKDAY(Table1[[#This Row],[Date]])</f>
        <v>7</v>
      </c>
      <c r="J428">
        <f>Table1[[#This Row],[Credit]]-Table1[[#This Row],[Debit]]</f>
        <v>-5</v>
      </c>
      <c r="K428" s="7" t="str">
        <f>TEXT(Table1[[#This Row],[Date]], "mmm")</f>
        <v>Sep</v>
      </c>
    </row>
    <row r="429" spans="1:11" hidden="1" x14ac:dyDescent="0.3">
      <c r="A429" s="1">
        <v>44465</v>
      </c>
      <c r="B429" t="s">
        <v>11</v>
      </c>
      <c r="C429">
        <v>5</v>
      </c>
      <c r="E429" t="s">
        <v>12</v>
      </c>
      <c r="F429" t="s">
        <v>13</v>
      </c>
      <c r="G429" t="s">
        <v>14</v>
      </c>
      <c r="H429">
        <f>MONTH(Table1[[#This Row],[Date]])</f>
        <v>9</v>
      </c>
      <c r="I429" s="2">
        <f>WEEKDAY(Table1[[#This Row],[Date]])</f>
        <v>1</v>
      </c>
      <c r="J429">
        <f>Table1[[#This Row],[Credit]]-Table1[[#This Row],[Debit]]</f>
        <v>-5</v>
      </c>
      <c r="K429" s="7" t="str">
        <f>TEXT(Table1[[#This Row],[Date]], "mmm")</f>
        <v>Sep</v>
      </c>
    </row>
    <row r="430" spans="1:11" hidden="1" x14ac:dyDescent="0.3">
      <c r="A430" s="1">
        <v>44466</v>
      </c>
      <c r="B430" t="s">
        <v>11</v>
      </c>
      <c r="C430">
        <v>5</v>
      </c>
      <c r="E430" t="s">
        <v>12</v>
      </c>
      <c r="F430" t="s">
        <v>13</v>
      </c>
      <c r="G430" t="s">
        <v>14</v>
      </c>
      <c r="H430">
        <f>MONTH(Table1[[#This Row],[Date]])</f>
        <v>9</v>
      </c>
      <c r="I430" s="2">
        <f>WEEKDAY(Table1[[#This Row],[Date]])</f>
        <v>2</v>
      </c>
      <c r="J430">
        <f>Table1[[#This Row],[Credit]]-Table1[[#This Row],[Debit]]</f>
        <v>-5</v>
      </c>
      <c r="K430" s="7" t="str">
        <f>TEXT(Table1[[#This Row],[Date]], "mmm")</f>
        <v>Sep</v>
      </c>
    </row>
    <row r="431" spans="1:11" hidden="1" x14ac:dyDescent="0.3">
      <c r="A431" s="1">
        <v>44467</v>
      </c>
      <c r="B431" t="s">
        <v>11</v>
      </c>
      <c r="C431">
        <v>5</v>
      </c>
      <c r="E431" t="s">
        <v>12</v>
      </c>
      <c r="F431" t="s">
        <v>13</v>
      </c>
      <c r="G431" t="s">
        <v>14</v>
      </c>
      <c r="H431">
        <f>MONTH(Table1[[#This Row],[Date]])</f>
        <v>9</v>
      </c>
      <c r="I431" s="2">
        <f>WEEKDAY(Table1[[#This Row],[Date]])</f>
        <v>3</v>
      </c>
      <c r="J431">
        <f>Table1[[#This Row],[Credit]]-Table1[[#This Row],[Debit]]</f>
        <v>-5</v>
      </c>
      <c r="K431" s="7" t="str">
        <f>TEXT(Table1[[#This Row],[Date]], "mmm")</f>
        <v>Sep</v>
      </c>
    </row>
    <row r="432" spans="1:11" hidden="1" x14ac:dyDescent="0.3">
      <c r="A432" s="1">
        <v>44467</v>
      </c>
      <c r="B432" t="s">
        <v>21</v>
      </c>
      <c r="C432">
        <v>223</v>
      </c>
      <c r="E432" t="s">
        <v>22</v>
      </c>
      <c r="F432" t="s">
        <v>17</v>
      </c>
      <c r="G432" t="s">
        <v>14</v>
      </c>
      <c r="H432">
        <f>MONTH(Table1[[#This Row],[Date]])</f>
        <v>9</v>
      </c>
      <c r="I432" s="2">
        <f>WEEKDAY(Table1[[#This Row],[Date]])</f>
        <v>3</v>
      </c>
      <c r="J432">
        <f>Table1[[#This Row],[Credit]]-Table1[[#This Row],[Debit]]</f>
        <v>-223</v>
      </c>
      <c r="K432" s="7" t="str">
        <f>TEXT(Table1[[#This Row],[Date]], "mmm")</f>
        <v>Sep</v>
      </c>
    </row>
    <row r="433" spans="1:11" hidden="1" x14ac:dyDescent="0.3">
      <c r="A433" s="1">
        <v>44468</v>
      </c>
      <c r="B433" t="s">
        <v>49</v>
      </c>
      <c r="C433">
        <v>132.9</v>
      </c>
      <c r="E433" t="s">
        <v>30</v>
      </c>
      <c r="F433" t="s">
        <v>28</v>
      </c>
      <c r="G433" t="s">
        <v>14</v>
      </c>
      <c r="H433">
        <f>MONTH(Table1[[#This Row],[Date]])</f>
        <v>9</v>
      </c>
      <c r="I433" s="2">
        <f>WEEKDAY(Table1[[#This Row],[Date]])</f>
        <v>4</v>
      </c>
      <c r="J433">
        <f>Table1[[#This Row],[Credit]]-Table1[[#This Row],[Debit]]</f>
        <v>-132.9</v>
      </c>
      <c r="K433" s="7" t="str">
        <f>TEXT(Table1[[#This Row],[Date]], "mmm")</f>
        <v>Sep</v>
      </c>
    </row>
    <row r="434" spans="1:11" hidden="1" x14ac:dyDescent="0.3">
      <c r="A434" s="1">
        <v>44468</v>
      </c>
      <c r="B434" t="s">
        <v>51</v>
      </c>
      <c r="C434">
        <v>175</v>
      </c>
      <c r="E434" t="s">
        <v>30</v>
      </c>
      <c r="F434" t="s">
        <v>28</v>
      </c>
      <c r="G434" t="s">
        <v>14</v>
      </c>
      <c r="H434">
        <f>MONTH(Table1[[#This Row],[Date]])</f>
        <v>9</v>
      </c>
      <c r="I434" s="2">
        <f>WEEKDAY(Table1[[#This Row],[Date]])</f>
        <v>4</v>
      </c>
      <c r="J434">
        <f>Table1[[#This Row],[Credit]]-Table1[[#This Row],[Debit]]</f>
        <v>-175</v>
      </c>
      <c r="K434" s="7" t="str">
        <f>TEXT(Table1[[#This Row],[Date]], "mmm")</f>
        <v>Sep</v>
      </c>
    </row>
    <row r="435" spans="1:11" hidden="1" x14ac:dyDescent="0.3">
      <c r="A435" s="1">
        <v>44469</v>
      </c>
      <c r="B435" t="s">
        <v>29</v>
      </c>
      <c r="C435">
        <v>153.39999999999998</v>
      </c>
      <c r="E435" t="s">
        <v>30</v>
      </c>
      <c r="F435" t="s">
        <v>28</v>
      </c>
      <c r="G435" t="s">
        <v>14</v>
      </c>
      <c r="H435">
        <f>MONTH(Table1[[#This Row],[Date]])</f>
        <v>9</v>
      </c>
      <c r="I435" s="2">
        <f>WEEKDAY(Table1[[#This Row],[Date]])</f>
        <v>5</v>
      </c>
      <c r="J435">
        <f>Table1[[#This Row],[Credit]]-Table1[[#This Row],[Debit]]</f>
        <v>-153.39999999999998</v>
      </c>
      <c r="K435" s="7" t="str">
        <f>TEXT(Table1[[#This Row],[Date]], "mmm")</f>
        <v>Sep</v>
      </c>
    </row>
    <row r="436" spans="1:11" hidden="1" x14ac:dyDescent="0.3">
      <c r="A436" s="1">
        <v>44469</v>
      </c>
      <c r="B436" t="s">
        <v>33</v>
      </c>
      <c r="C436">
        <v>31.200000000000003</v>
      </c>
      <c r="E436" t="s">
        <v>34</v>
      </c>
      <c r="F436" t="s">
        <v>20</v>
      </c>
      <c r="G436" t="s">
        <v>14</v>
      </c>
      <c r="H436">
        <f>MONTH(Table1[[#This Row],[Date]])</f>
        <v>9</v>
      </c>
      <c r="I436" s="2">
        <f>WEEKDAY(Table1[[#This Row],[Date]])</f>
        <v>5</v>
      </c>
      <c r="J436">
        <f>Table1[[#This Row],[Credit]]-Table1[[#This Row],[Debit]]</f>
        <v>-31.200000000000003</v>
      </c>
      <c r="K436" s="7" t="str">
        <f>TEXT(Table1[[#This Row],[Date]], "mmm")</f>
        <v>Sep</v>
      </c>
    </row>
    <row r="437" spans="1:11" hidden="1" x14ac:dyDescent="0.3">
      <c r="A437" s="1">
        <v>44469</v>
      </c>
      <c r="B437" t="s">
        <v>56</v>
      </c>
      <c r="C437">
        <v>15</v>
      </c>
      <c r="E437" t="s">
        <v>32</v>
      </c>
      <c r="F437" t="s">
        <v>13</v>
      </c>
      <c r="G437" t="s">
        <v>14</v>
      </c>
      <c r="H437">
        <f>MONTH(Table1[[#This Row],[Date]])</f>
        <v>9</v>
      </c>
      <c r="I437" s="2">
        <f>WEEKDAY(Table1[[#This Row],[Date]])</f>
        <v>5</v>
      </c>
      <c r="J437">
        <f>Table1[[#This Row],[Credit]]-Table1[[#This Row],[Debit]]</f>
        <v>-15</v>
      </c>
      <c r="K437" s="7" t="str">
        <f>TEXT(Table1[[#This Row],[Date]], "mmm")</f>
        <v>Sep</v>
      </c>
    </row>
    <row r="438" spans="1:11" hidden="1" x14ac:dyDescent="0.3">
      <c r="A438" s="1">
        <v>44470</v>
      </c>
      <c r="B438" t="s">
        <v>11</v>
      </c>
      <c r="C438">
        <v>5</v>
      </c>
      <c r="E438" t="s">
        <v>12</v>
      </c>
      <c r="F438" t="s">
        <v>13</v>
      </c>
      <c r="G438" t="s">
        <v>14</v>
      </c>
      <c r="H438">
        <f>MONTH(Table1[[#This Row],[Date]])</f>
        <v>10</v>
      </c>
      <c r="I438" s="2">
        <f>WEEKDAY(Table1[[#This Row],[Date]])</f>
        <v>6</v>
      </c>
      <c r="J438">
        <f>Table1[[#This Row],[Credit]]-Table1[[#This Row],[Debit]]</f>
        <v>-5</v>
      </c>
      <c r="K438" s="7" t="str">
        <f>TEXT(Table1[[#This Row],[Date]], "mmm")</f>
        <v>Oct</v>
      </c>
    </row>
    <row r="439" spans="1:11" hidden="1" x14ac:dyDescent="0.3">
      <c r="A439" s="1">
        <v>44472</v>
      </c>
      <c r="B439" t="s">
        <v>11</v>
      </c>
      <c r="C439">
        <v>5</v>
      </c>
      <c r="E439" t="s">
        <v>12</v>
      </c>
      <c r="F439" t="s">
        <v>13</v>
      </c>
      <c r="G439" t="s">
        <v>14</v>
      </c>
      <c r="H439">
        <f>MONTH(Table1[[#This Row],[Date]])</f>
        <v>10</v>
      </c>
      <c r="I439" s="2">
        <f>WEEKDAY(Table1[[#This Row],[Date]])</f>
        <v>1</v>
      </c>
      <c r="J439">
        <f>Table1[[#This Row],[Credit]]-Table1[[#This Row],[Debit]]</f>
        <v>-5</v>
      </c>
      <c r="K439" s="7" t="str">
        <f>TEXT(Table1[[#This Row],[Date]], "mmm")</f>
        <v>Oct</v>
      </c>
    </row>
    <row r="440" spans="1:11" hidden="1" x14ac:dyDescent="0.3">
      <c r="A440" s="1">
        <v>44472</v>
      </c>
      <c r="B440" t="s">
        <v>7</v>
      </c>
      <c r="D440">
        <v>5000</v>
      </c>
      <c r="E440" t="s">
        <v>8</v>
      </c>
      <c r="F440" t="s">
        <v>9</v>
      </c>
      <c r="G440" t="s">
        <v>10</v>
      </c>
      <c r="H440">
        <f>MONTH(Table1[[#This Row],[Date]])</f>
        <v>10</v>
      </c>
      <c r="I440" s="2">
        <f>WEEKDAY(Table1[[#This Row],[Date]])</f>
        <v>1</v>
      </c>
      <c r="J440">
        <f>Table1[[#This Row],[Credit]]-Table1[[#This Row],[Debit]]</f>
        <v>5000</v>
      </c>
      <c r="K440" s="7" t="str">
        <f>TEXT(Table1[[#This Row],[Date]], "mmm")</f>
        <v>Oct</v>
      </c>
    </row>
    <row r="441" spans="1:11" hidden="1" x14ac:dyDescent="0.3">
      <c r="A441" s="1">
        <v>44473</v>
      </c>
      <c r="B441" t="s">
        <v>11</v>
      </c>
      <c r="C441">
        <v>5</v>
      </c>
      <c r="E441" t="s">
        <v>12</v>
      </c>
      <c r="F441" t="s">
        <v>13</v>
      </c>
      <c r="G441" t="s">
        <v>14</v>
      </c>
      <c r="H441">
        <f>MONTH(Table1[[#This Row],[Date]])</f>
        <v>10</v>
      </c>
      <c r="I441" s="2">
        <f>WEEKDAY(Table1[[#This Row],[Date]])</f>
        <v>2</v>
      </c>
      <c r="J441">
        <f>Table1[[#This Row],[Credit]]-Table1[[#This Row],[Debit]]</f>
        <v>-5</v>
      </c>
      <c r="K441" s="7" t="str">
        <f>TEXT(Table1[[#This Row],[Date]], "mmm")</f>
        <v>Oct</v>
      </c>
    </row>
    <row r="442" spans="1:11" hidden="1" x14ac:dyDescent="0.3">
      <c r="A442" s="1">
        <v>44475</v>
      </c>
      <c r="B442" t="s">
        <v>15</v>
      </c>
      <c r="C442">
        <v>900</v>
      </c>
      <c r="E442" t="s">
        <v>16</v>
      </c>
      <c r="F442" t="s">
        <v>17</v>
      </c>
      <c r="G442" t="s">
        <v>14</v>
      </c>
      <c r="H442">
        <f>MONTH(Table1[[#This Row],[Date]])</f>
        <v>10</v>
      </c>
      <c r="I442" s="2">
        <f>WEEKDAY(Table1[[#This Row],[Date]])</f>
        <v>4</v>
      </c>
      <c r="J442">
        <f>Table1[[#This Row],[Credit]]-Table1[[#This Row],[Debit]]</f>
        <v>-900</v>
      </c>
      <c r="K442" s="7" t="str">
        <f>TEXT(Table1[[#This Row],[Date]], "mmm")</f>
        <v>Oct</v>
      </c>
    </row>
    <row r="443" spans="1:11" hidden="1" x14ac:dyDescent="0.3">
      <c r="A443" s="1">
        <v>44475</v>
      </c>
      <c r="B443" t="s">
        <v>18</v>
      </c>
      <c r="C443">
        <v>150</v>
      </c>
      <c r="E443" t="s">
        <v>19</v>
      </c>
      <c r="F443" t="s">
        <v>20</v>
      </c>
      <c r="G443" t="s">
        <v>14</v>
      </c>
      <c r="H443">
        <f>MONTH(Table1[[#This Row],[Date]])</f>
        <v>10</v>
      </c>
      <c r="I443" s="2">
        <f>WEEKDAY(Table1[[#This Row],[Date]])</f>
        <v>4</v>
      </c>
      <c r="J443">
        <f>Table1[[#This Row],[Credit]]-Table1[[#This Row],[Debit]]</f>
        <v>-150</v>
      </c>
      <c r="K443" s="7" t="str">
        <f>TEXT(Table1[[#This Row],[Date]], "mmm")</f>
        <v>Oct</v>
      </c>
    </row>
    <row r="444" spans="1:11" hidden="1" x14ac:dyDescent="0.3">
      <c r="A444" s="1">
        <v>44475</v>
      </c>
      <c r="B444" t="s">
        <v>11</v>
      </c>
      <c r="C444">
        <v>5</v>
      </c>
      <c r="E444" t="s">
        <v>12</v>
      </c>
      <c r="F444" t="s">
        <v>13</v>
      </c>
      <c r="G444" t="s">
        <v>14</v>
      </c>
      <c r="H444">
        <f>MONTH(Table1[[#This Row],[Date]])</f>
        <v>10</v>
      </c>
      <c r="I444" s="2">
        <f>WEEKDAY(Table1[[#This Row],[Date]])</f>
        <v>4</v>
      </c>
      <c r="J444">
        <f>Table1[[#This Row],[Credit]]-Table1[[#This Row],[Debit]]</f>
        <v>-5</v>
      </c>
      <c r="K444" s="7" t="str">
        <f>TEXT(Table1[[#This Row],[Date]], "mmm")</f>
        <v>Oct</v>
      </c>
    </row>
    <row r="445" spans="1:11" hidden="1" x14ac:dyDescent="0.3">
      <c r="A445" s="1">
        <v>44475</v>
      </c>
      <c r="B445" t="s">
        <v>11</v>
      </c>
      <c r="C445">
        <v>5</v>
      </c>
      <c r="E445" t="s">
        <v>12</v>
      </c>
      <c r="F445" t="s">
        <v>13</v>
      </c>
      <c r="G445" t="s">
        <v>14</v>
      </c>
      <c r="H445">
        <f>MONTH(Table1[[#This Row],[Date]])</f>
        <v>10</v>
      </c>
      <c r="I445" s="2">
        <f>WEEKDAY(Table1[[#This Row],[Date]])</f>
        <v>4</v>
      </c>
      <c r="J445">
        <f>Table1[[#This Row],[Credit]]-Table1[[#This Row],[Debit]]</f>
        <v>-5</v>
      </c>
      <c r="K445" s="7" t="str">
        <f>TEXT(Table1[[#This Row],[Date]], "mmm")</f>
        <v>Oct</v>
      </c>
    </row>
    <row r="446" spans="1:11" hidden="1" x14ac:dyDescent="0.3">
      <c r="A446" s="1">
        <v>44476</v>
      </c>
      <c r="B446" t="s">
        <v>11</v>
      </c>
      <c r="C446">
        <v>5</v>
      </c>
      <c r="E446" t="s">
        <v>12</v>
      </c>
      <c r="F446" t="s">
        <v>13</v>
      </c>
      <c r="G446" t="s">
        <v>14</v>
      </c>
      <c r="H446">
        <f>MONTH(Table1[[#This Row],[Date]])</f>
        <v>10</v>
      </c>
      <c r="I446" s="2">
        <f>WEEKDAY(Table1[[#This Row],[Date]])</f>
        <v>5</v>
      </c>
      <c r="J446">
        <f>Table1[[#This Row],[Credit]]-Table1[[#This Row],[Debit]]</f>
        <v>-5</v>
      </c>
      <c r="K446" s="7" t="str">
        <f>TEXT(Table1[[#This Row],[Date]], "mmm")</f>
        <v>Oct</v>
      </c>
    </row>
    <row r="447" spans="1:11" hidden="1" x14ac:dyDescent="0.3">
      <c r="A447" s="1">
        <v>44477</v>
      </c>
      <c r="B447" t="s">
        <v>11</v>
      </c>
      <c r="C447">
        <v>5</v>
      </c>
      <c r="E447" t="s">
        <v>12</v>
      </c>
      <c r="F447" t="s">
        <v>13</v>
      </c>
      <c r="G447" t="s">
        <v>14</v>
      </c>
      <c r="H447">
        <f>MONTH(Table1[[#This Row],[Date]])</f>
        <v>10</v>
      </c>
      <c r="I447" s="2">
        <f>WEEKDAY(Table1[[#This Row],[Date]])</f>
        <v>6</v>
      </c>
      <c r="J447">
        <f>Table1[[#This Row],[Credit]]-Table1[[#This Row],[Debit]]</f>
        <v>-5</v>
      </c>
      <c r="K447" s="7" t="str">
        <f>TEXT(Table1[[#This Row],[Date]], "mmm")</f>
        <v>Oct</v>
      </c>
    </row>
    <row r="448" spans="1:11" hidden="1" x14ac:dyDescent="0.3">
      <c r="A448" s="1">
        <v>44477</v>
      </c>
      <c r="B448" t="s">
        <v>21</v>
      </c>
      <c r="C448">
        <v>105</v>
      </c>
      <c r="E448" t="s">
        <v>22</v>
      </c>
      <c r="F448" t="s">
        <v>17</v>
      </c>
      <c r="G448" t="s">
        <v>14</v>
      </c>
      <c r="H448">
        <f>MONTH(Table1[[#This Row],[Date]])</f>
        <v>10</v>
      </c>
      <c r="I448" s="2">
        <f>WEEKDAY(Table1[[#This Row],[Date]])</f>
        <v>6</v>
      </c>
      <c r="J448">
        <f>Table1[[#This Row],[Credit]]-Table1[[#This Row],[Debit]]</f>
        <v>-105</v>
      </c>
      <c r="K448" s="7" t="str">
        <f>TEXT(Table1[[#This Row],[Date]], "mmm")</f>
        <v>Oct</v>
      </c>
    </row>
    <row r="449" spans="1:11" hidden="1" x14ac:dyDescent="0.3">
      <c r="A449" s="1">
        <v>44480</v>
      </c>
      <c r="B449" t="s">
        <v>23</v>
      </c>
      <c r="C449">
        <v>59</v>
      </c>
      <c r="E449" t="s">
        <v>24</v>
      </c>
      <c r="F449" t="s">
        <v>17</v>
      </c>
      <c r="G449" t="s">
        <v>14</v>
      </c>
      <c r="H449">
        <f>MONTH(Table1[[#This Row],[Date]])</f>
        <v>10</v>
      </c>
      <c r="I449" s="2">
        <f>WEEKDAY(Table1[[#This Row],[Date]])</f>
        <v>2</v>
      </c>
      <c r="J449">
        <f>Table1[[#This Row],[Credit]]-Table1[[#This Row],[Debit]]</f>
        <v>-59</v>
      </c>
      <c r="K449" s="7" t="str">
        <f>TEXT(Table1[[#This Row],[Date]], "mmm")</f>
        <v>Oct</v>
      </c>
    </row>
    <row r="450" spans="1:11" hidden="1" x14ac:dyDescent="0.3">
      <c r="A450" s="1">
        <v>44480</v>
      </c>
      <c r="B450" t="s">
        <v>11</v>
      </c>
      <c r="C450">
        <v>5</v>
      </c>
      <c r="E450" t="s">
        <v>12</v>
      </c>
      <c r="F450" t="s">
        <v>13</v>
      </c>
      <c r="G450" t="s">
        <v>14</v>
      </c>
      <c r="H450">
        <f>MONTH(Table1[[#This Row],[Date]])</f>
        <v>10</v>
      </c>
      <c r="I450" s="2">
        <f>WEEKDAY(Table1[[#This Row],[Date]])</f>
        <v>2</v>
      </c>
      <c r="J450">
        <f>Table1[[#This Row],[Credit]]-Table1[[#This Row],[Debit]]</f>
        <v>-5</v>
      </c>
      <c r="K450" s="7" t="str">
        <f>TEXT(Table1[[#This Row],[Date]], "mmm")</f>
        <v>Oct</v>
      </c>
    </row>
    <row r="451" spans="1:11" hidden="1" x14ac:dyDescent="0.3">
      <c r="A451" s="1">
        <v>44481</v>
      </c>
      <c r="B451" t="s">
        <v>11</v>
      </c>
      <c r="C451">
        <v>5</v>
      </c>
      <c r="E451" t="s">
        <v>12</v>
      </c>
      <c r="F451" t="s">
        <v>13</v>
      </c>
      <c r="G451" t="s">
        <v>14</v>
      </c>
      <c r="H451">
        <f>MONTH(Table1[[#This Row],[Date]])</f>
        <v>10</v>
      </c>
      <c r="I451" s="2">
        <f>WEEKDAY(Table1[[#This Row],[Date]])</f>
        <v>3</v>
      </c>
      <c r="J451">
        <f>Table1[[#This Row],[Credit]]-Table1[[#This Row],[Debit]]</f>
        <v>-5</v>
      </c>
      <c r="K451" s="7" t="str">
        <f>TEXT(Table1[[#This Row],[Date]], "mmm")</f>
        <v>Oct</v>
      </c>
    </row>
    <row r="452" spans="1:11" hidden="1" x14ac:dyDescent="0.3">
      <c r="A452" s="1">
        <v>44482</v>
      </c>
      <c r="B452" t="s">
        <v>25</v>
      </c>
      <c r="C452">
        <v>86.399999999999977</v>
      </c>
      <c r="E452" t="s">
        <v>48</v>
      </c>
      <c r="F452" t="s">
        <v>20</v>
      </c>
      <c r="G452" t="s">
        <v>14</v>
      </c>
      <c r="H452">
        <f>MONTH(Table1[[#This Row],[Date]])</f>
        <v>10</v>
      </c>
      <c r="I452" s="2">
        <f>WEEKDAY(Table1[[#This Row],[Date]])</f>
        <v>4</v>
      </c>
      <c r="J452">
        <f>Table1[[#This Row],[Credit]]-Table1[[#This Row],[Debit]]</f>
        <v>-86.399999999999977</v>
      </c>
      <c r="K452" s="7" t="str">
        <f>TEXT(Table1[[#This Row],[Date]], "mmm")</f>
        <v>Oct</v>
      </c>
    </row>
    <row r="453" spans="1:11" hidden="1" x14ac:dyDescent="0.3">
      <c r="A453" s="1">
        <v>44482</v>
      </c>
      <c r="B453" t="s">
        <v>11</v>
      </c>
      <c r="C453">
        <v>5</v>
      </c>
      <c r="E453" t="s">
        <v>12</v>
      </c>
      <c r="F453" t="s">
        <v>13</v>
      </c>
      <c r="G453" t="s">
        <v>14</v>
      </c>
      <c r="H453">
        <f>MONTH(Table1[[#This Row],[Date]])</f>
        <v>10</v>
      </c>
      <c r="I453" s="2">
        <f>WEEKDAY(Table1[[#This Row],[Date]])</f>
        <v>4</v>
      </c>
      <c r="J453">
        <f>Table1[[#This Row],[Credit]]-Table1[[#This Row],[Debit]]</f>
        <v>-5</v>
      </c>
      <c r="K453" s="7" t="str">
        <f>TEXT(Table1[[#This Row],[Date]], "mmm")</f>
        <v>Oct</v>
      </c>
    </row>
    <row r="454" spans="1:11" hidden="1" x14ac:dyDescent="0.3">
      <c r="A454" s="1">
        <v>44483</v>
      </c>
      <c r="B454" t="s">
        <v>11</v>
      </c>
      <c r="C454">
        <v>5</v>
      </c>
      <c r="E454" t="s">
        <v>12</v>
      </c>
      <c r="F454" t="s">
        <v>13</v>
      </c>
      <c r="G454" t="s">
        <v>14</v>
      </c>
      <c r="H454">
        <f>MONTH(Table1[[#This Row],[Date]])</f>
        <v>10</v>
      </c>
      <c r="I454" s="2">
        <f>WEEKDAY(Table1[[#This Row],[Date]])</f>
        <v>5</v>
      </c>
      <c r="J454">
        <f>Table1[[#This Row],[Credit]]-Table1[[#This Row],[Debit]]</f>
        <v>-5</v>
      </c>
      <c r="K454" s="7" t="str">
        <f>TEXT(Table1[[#This Row],[Date]], "mmm")</f>
        <v>Oct</v>
      </c>
    </row>
    <row r="455" spans="1:11" hidden="1" x14ac:dyDescent="0.3">
      <c r="A455" s="1">
        <v>44484</v>
      </c>
      <c r="B455" t="s">
        <v>21</v>
      </c>
      <c r="C455">
        <v>143.9</v>
      </c>
      <c r="E455" t="s">
        <v>22</v>
      </c>
      <c r="F455" t="s">
        <v>17</v>
      </c>
      <c r="G455" t="s">
        <v>14</v>
      </c>
      <c r="H455">
        <f>MONTH(Table1[[#This Row],[Date]])</f>
        <v>10</v>
      </c>
      <c r="I455" s="2">
        <f>WEEKDAY(Table1[[#This Row],[Date]])</f>
        <v>6</v>
      </c>
      <c r="J455">
        <f>Table1[[#This Row],[Credit]]-Table1[[#This Row],[Debit]]</f>
        <v>-143.9</v>
      </c>
      <c r="K455" s="7" t="str">
        <f>TEXT(Table1[[#This Row],[Date]], "mmm")</f>
        <v>Oct</v>
      </c>
    </row>
    <row r="456" spans="1:11" hidden="1" x14ac:dyDescent="0.3">
      <c r="A456" s="1">
        <v>44484</v>
      </c>
      <c r="B456" t="s">
        <v>11</v>
      </c>
      <c r="C456">
        <v>5</v>
      </c>
      <c r="E456" t="s">
        <v>12</v>
      </c>
      <c r="F456" t="s">
        <v>13</v>
      </c>
      <c r="G456" t="s">
        <v>14</v>
      </c>
      <c r="H456">
        <f>MONTH(Table1[[#This Row],[Date]])</f>
        <v>10</v>
      </c>
      <c r="I456" s="2">
        <f>WEEKDAY(Table1[[#This Row],[Date]])</f>
        <v>6</v>
      </c>
      <c r="J456">
        <f>Table1[[#This Row],[Credit]]-Table1[[#This Row],[Debit]]</f>
        <v>-5</v>
      </c>
      <c r="K456" s="7" t="str">
        <f>TEXT(Table1[[#This Row],[Date]], "mmm")</f>
        <v>Oct</v>
      </c>
    </row>
    <row r="457" spans="1:11" hidden="1" x14ac:dyDescent="0.3">
      <c r="A457" s="1">
        <v>44485</v>
      </c>
      <c r="B457" t="s">
        <v>11</v>
      </c>
      <c r="C457">
        <v>5</v>
      </c>
      <c r="E457" t="s">
        <v>12</v>
      </c>
      <c r="F457" t="s">
        <v>13</v>
      </c>
      <c r="G457" t="s">
        <v>14</v>
      </c>
      <c r="H457">
        <f>MONTH(Table1[[#This Row],[Date]])</f>
        <v>10</v>
      </c>
      <c r="I457" s="2">
        <f>WEEKDAY(Table1[[#This Row],[Date]])</f>
        <v>7</v>
      </c>
      <c r="J457">
        <f>Table1[[#This Row],[Credit]]-Table1[[#This Row],[Debit]]</f>
        <v>-5</v>
      </c>
      <c r="K457" s="7" t="str">
        <f>TEXT(Table1[[#This Row],[Date]], "mmm")</f>
        <v>Oct</v>
      </c>
    </row>
    <row r="458" spans="1:11" hidden="1" x14ac:dyDescent="0.3">
      <c r="A458" s="1">
        <v>44485</v>
      </c>
      <c r="B458" t="s">
        <v>26</v>
      </c>
      <c r="C458">
        <v>48.8</v>
      </c>
      <c r="E458" t="s">
        <v>27</v>
      </c>
      <c r="F458" t="s">
        <v>28</v>
      </c>
      <c r="G458" t="s">
        <v>14</v>
      </c>
      <c r="H458">
        <f>MONTH(Table1[[#This Row],[Date]])</f>
        <v>10</v>
      </c>
      <c r="I458" s="2">
        <f>WEEKDAY(Table1[[#This Row],[Date]])</f>
        <v>7</v>
      </c>
      <c r="J458">
        <f>Table1[[#This Row],[Credit]]-Table1[[#This Row],[Debit]]</f>
        <v>-48.8</v>
      </c>
      <c r="K458" s="7" t="str">
        <f>TEXT(Table1[[#This Row],[Date]], "mmm")</f>
        <v>Oct</v>
      </c>
    </row>
    <row r="459" spans="1:11" hidden="1" x14ac:dyDescent="0.3">
      <c r="A459" s="1">
        <v>44485</v>
      </c>
      <c r="B459" t="s">
        <v>29</v>
      </c>
      <c r="C459">
        <v>106.70000000000002</v>
      </c>
      <c r="E459" t="s">
        <v>30</v>
      </c>
      <c r="F459" t="s">
        <v>28</v>
      </c>
      <c r="G459" t="s">
        <v>14</v>
      </c>
      <c r="H459">
        <f>MONTH(Table1[[#This Row],[Date]])</f>
        <v>10</v>
      </c>
      <c r="I459" s="2">
        <f>WEEKDAY(Table1[[#This Row],[Date]])</f>
        <v>7</v>
      </c>
      <c r="J459">
        <f>Table1[[#This Row],[Credit]]-Table1[[#This Row],[Debit]]</f>
        <v>-106.70000000000002</v>
      </c>
      <c r="K459" s="7" t="str">
        <f>TEXT(Table1[[#This Row],[Date]], "mmm")</f>
        <v>Oct</v>
      </c>
    </row>
    <row r="460" spans="1:11" hidden="1" x14ac:dyDescent="0.3">
      <c r="A460" s="1">
        <v>44485</v>
      </c>
      <c r="B460" t="s">
        <v>31</v>
      </c>
      <c r="C460">
        <v>61.1</v>
      </c>
      <c r="E460" t="s">
        <v>32</v>
      </c>
      <c r="F460" t="s">
        <v>13</v>
      </c>
      <c r="G460" t="s">
        <v>14</v>
      </c>
      <c r="H460">
        <f>MONTH(Table1[[#This Row],[Date]])</f>
        <v>10</v>
      </c>
      <c r="I460" s="2">
        <f>WEEKDAY(Table1[[#This Row],[Date]])</f>
        <v>7</v>
      </c>
      <c r="J460">
        <f>Table1[[#This Row],[Credit]]-Table1[[#This Row],[Debit]]</f>
        <v>-61.1</v>
      </c>
      <c r="K460" s="7" t="str">
        <f>TEXT(Table1[[#This Row],[Date]], "mmm")</f>
        <v>Oct</v>
      </c>
    </row>
    <row r="461" spans="1:11" hidden="1" x14ac:dyDescent="0.3">
      <c r="A461" s="1">
        <v>44486</v>
      </c>
      <c r="B461" t="s">
        <v>33</v>
      </c>
      <c r="C461">
        <v>37.200000000000003</v>
      </c>
      <c r="E461" t="s">
        <v>34</v>
      </c>
      <c r="F461" t="s">
        <v>20</v>
      </c>
      <c r="G461" t="s">
        <v>14</v>
      </c>
      <c r="H461">
        <f>MONTH(Table1[[#This Row],[Date]])</f>
        <v>10</v>
      </c>
      <c r="I461" s="2">
        <f>WEEKDAY(Table1[[#This Row],[Date]])</f>
        <v>1</v>
      </c>
      <c r="J461">
        <f>Table1[[#This Row],[Credit]]-Table1[[#This Row],[Debit]]</f>
        <v>-37.200000000000003</v>
      </c>
      <c r="K461" s="7" t="str">
        <f>TEXT(Table1[[#This Row],[Date]], "mmm")</f>
        <v>Oct</v>
      </c>
    </row>
    <row r="462" spans="1:11" hidden="1" x14ac:dyDescent="0.3">
      <c r="A462" s="1">
        <v>44487</v>
      </c>
      <c r="B462" t="s">
        <v>35</v>
      </c>
      <c r="D462">
        <v>100</v>
      </c>
      <c r="E462" t="s">
        <v>36</v>
      </c>
      <c r="F462" t="s">
        <v>37</v>
      </c>
      <c r="G462" t="s">
        <v>10</v>
      </c>
      <c r="H462">
        <f>MONTH(Table1[[#This Row],[Date]])</f>
        <v>10</v>
      </c>
      <c r="I462" s="2">
        <f>WEEKDAY(Table1[[#This Row],[Date]])</f>
        <v>2</v>
      </c>
      <c r="J462">
        <f>Table1[[#This Row],[Credit]]-Table1[[#This Row],[Debit]]</f>
        <v>100</v>
      </c>
      <c r="K462" s="7" t="str">
        <f>TEXT(Table1[[#This Row],[Date]], "mmm")</f>
        <v>Oct</v>
      </c>
    </row>
    <row r="463" spans="1:11" hidden="1" x14ac:dyDescent="0.3">
      <c r="A463" s="1">
        <v>44487</v>
      </c>
      <c r="B463" t="s">
        <v>11</v>
      </c>
      <c r="C463">
        <v>5</v>
      </c>
      <c r="E463" t="s">
        <v>12</v>
      </c>
      <c r="F463" t="s">
        <v>13</v>
      </c>
      <c r="G463" t="s">
        <v>14</v>
      </c>
      <c r="H463">
        <f>MONTH(Table1[[#This Row],[Date]])</f>
        <v>10</v>
      </c>
      <c r="I463" s="2">
        <f>WEEKDAY(Table1[[#This Row],[Date]])</f>
        <v>2</v>
      </c>
      <c r="J463">
        <f>Table1[[#This Row],[Credit]]-Table1[[#This Row],[Debit]]</f>
        <v>-5</v>
      </c>
      <c r="K463" s="7" t="str">
        <f>TEXT(Table1[[#This Row],[Date]], "mmm")</f>
        <v>Oct</v>
      </c>
    </row>
    <row r="464" spans="1:11" hidden="1" x14ac:dyDescent="0.3">
      <c r="A464" s="1">
        <v>44488</v>
      </c>
      <c r="B464" t="s">
        <v>11</v>
      </c>
      <c r="C464">
        <v>5</v>
      </c>
      <c r="E464" t="s">
        <v>12</v>
      </c>
      <c r="F464" t="s">
        <v>13</v>
      </c>
      <c r="G464" t="s">
        <v>14</v>
      </c>
      <c r="H464">
        <f>MONTH(Table1[[#This Row],[Date]])</f>
        <v>10</v>
      </c>
      <c r="I464" s="2">
        <f>WEEKDAY(Table1[[#This Row],[Date]])</f>
        <v>3</v>
      </c>
      <c r="J464">
        <f>Table1[[#This Row],[Credit]]-Table1[[#This Row],[Debit]]</f>
        <v>-5</v>
      </c>
      <c r="K464" s="7" t="str">
        <f>TEXT(Table1[[#This Row],[Date]], "mmm")</f>
        <v>Oct</v>
      </c>
    </row>
    <row r="465" spans="1:11" hidden="1" x14ac:dyDescent="0.3">
      <c r="A465" s="1">
        <v>44488</v>
      </c>
      <c r="B465" t="s">
        <v>52</v>
      </c>
      <c r="C465">
        <v>75</v>
      </c>
      <c r="E465" t="s">
        <v>53</v>
      </c>
      <c r="F465" t="s">
        <v>54</v>
      </c>
      <c r="G465" t="s">
        <v>14</v>
      </c>
      <c r="H465">
        <f>MONTH(Table1[[#This Row],[Date]])</f>
        <v>10</v>
      </c>
      <c r="I465" s="2">
        <f>WEEKDAY(Table1[[#This Row],[Date]])</f>
        <v>3</v>
      </c>
      <c r="J465">
        <f>Table1[[#This Row],[Credit]]-Table1[[#This Row],[Debit]]</f>
        <v>-75</v>
      </c>
      <c r="K465" s="7" t="str">
        <f>TEXT(Table1[[#This Row],[Date]], "mmm")</f>
        <v>Oct</v>
      </c>
    </row>
    <row r="466" spans="1:11" hidden="1" x14ac:dyDescent="0.3">
      <c r="A466" s="1">
        <v>44488</v>
      </c>
      <c r="B466" t="s">
        <v>39</v>
      </c>
      <c r="C466">
        <v>40</v>
      </c>
      <c r="E466" t="s">
        <v>39</v>
      </c>
      <c r="F466" t="s">
        <v>17</v>
      </c>
      <c r="G466" t="s">
        <v>14</v>
      </c>
      <c r="H466">
        <f>MONTH(Table1[[#This Row],[Date]])</f>
        <v>10</v>
      </c>
      <c r="I466" s="2">
        <f>WEEKDAY(Table1[[#This Row],[Date]])</f>
        <v>3</v>
      </c>
      <c r="J466">
        <f>Table1[[#This Row],[Credit]]-Table1[[#This Row],[Debit]]</f>
        <v>-40</v>
      </c>
      <c r="K466" s="7" t="str">
        <f>TEXT(Table1[[#This Row],[Date]], "mmm")</f>
        <v>Oct</v>
      </c>
    </row>
    <row r="467" spans="1:11" hidden="1" x14ac:dyDescent="0.3">
      <c r="A467" s="1">
        <v>44489</v>
      </c>
      <c r="B467" t="s">
        <v>40</v>
      </c>
      <c r="C467">
        <v>54.1</v>
      </c>
      <c r="E467" t="s">
        <v>41</v>
      </c>
      <c r="F467" t="s">
        <v>28</v>
      </c>
      <c r="G467" t="s">
        <v>14</v>
      </c>
      <c r="H467">
        <f>MONTH(Table1[[#This Row],[Date]])</f>
        <v>10</v>
      </c>
      <c r="I467" s="2">
        <f>WEEKDAY(Table1[[#This Row],[Date]])</f>
        <v>4</v>
      </c>
      <c r="J467">
        <f>Table1[[#This Row],[Credit]]-Table1[[#This Row],[Debit]]</f>
        <v>-54.1</v>
      </c>
      <c r="K467" s="7" t="str">
        <f>TEXT(Table1[[#This Row],[Date]], "mmm")</f>
        <v>Oct</v>
      </c>
    </row>
    <row r="468" spans="1:11" hidden="1" x14ac:dyDescent="0.3">
      <c r="A468" s="1">
        <v>44489</v>
      </c>
      <c r="B468" t="s">
        <v>42</v>
      </c>
      <c r="C468">
        <v>35</v>
      </c>
      <c r="E468" t="s">
        <v>27</v>
      </c>
      <c r="F468" t="s">
        <v>28</v>
      </c>
      <c r="G468" t="s">
        <v>14</v>
      </c>
      <c r="H468">
        <f>MONTH(Table1[[#This Row],[Date]])</f>
        <v>10</v>
      </c>
      <c r="I468" s="2">
        <f>WEEKDAY(Table1[[#This Row],[Date]])</f>
        <v>4</v>
      </c>
      <c r="J468">
        <f>Table1[[#This Row],[Credit]]-Table1[[#This Row],[Debit]]</f>
        <v>-35</v>
      </c>
      <c r="K468" s="7" t="str">
        <f>TEXT(Table1[[#This Row],[Date]], "mmm")</f>
        <v>Oct</v>
      </c>
    </row>
    <row r="469" spans="1:11" hidden="1" x14ac:dyDescent="0.3">
      <c r="A469" s="1">
        <v>44489</v>
      </c>
      <c r="B469" t="s">
        <v>11</v>
      </c>
      <c r="C469">
        <v>5</v>
      </c>
      <c r="E469" t="s">
        <v>12</v>
      </c>
      <c r="F469" t="s">
        <v>13</v>
      </c>
      <c r="G469" t="s">
        <v>14</v>
      </c>
      <c r="H469">
        <f>MONTH(Table1[[#This Row],[Date]])</f>
        <v>10</v>
      </c>
      <c r="I469" s="2">
        <f>WEEKDAY(Table1[[#This Row],[Date]])</f>
        <v>4</v>
      </c>
      <c r="J469">
        <f>Table1[[#This Row],[Credit]]-Table1[[#This Row],[Debit]]</f>
        <v>-5</v>
      </c>
      <c r="K469" s="7" t="str">
        <f>TEXT(Table1[[#This Row],[Date]], "mmm")</f>
        <v>Oct</v>
      </c>
    </row>
    <row r="470" spans="1:11" hidden="1" x14ac:dyDescent="0.3">
      <c r="A470" s="1">
        <v>44490</v>
      </c>
      <c r="B470" t="s">
        <v>11</v>
      </c>
      <c r="C470">
        <v>5</v>
      </c>
      <c r="E470" t="s">
        <v>12</v>
      </c>
      <c r="F470" t="s">
        <v>13</v>
      </c>
      <c r="G470" t="s">
        <v>14</v>
      </c>
      <c r="H470">
        <f>MONTH(Table1[[#This Row],[Date]])</f>
        <v>10</v>
      </c>
      <c r="I470" s="2">
        <f>WEEKDAY(Table1[[#This Row],[Date]])</f>
        <v>5</v>
      </c>
      <c r="J470">
        <f>Table1[[#This Row],[Credit]]-Table1[[#This Row],[Debit]]</f>
        <v>-5</v>
      </c>
      <c r="K470" s="7" t="str">
        <f>TEXT(Table1[[#This Row],[Date]], "mmm")</f>
        <v>Oct</v>
      </c>
    </row>
    <row r="471" spans="1:11" hidden="1" x14ac:dyDescent="0.3">
      <c r="A471" s="1">
        <v>44491</v>
      </c>
      <c r="B471" t="s">
        <v>11</v>
      </c>
      <c r="C471">
        <v>5</v>
      </c>
      <c r="E471" t="s">
        <v>12</v>
      </c>
      <c r="F471" t="s">
        <v>13</v>
      </c>
      <c r="G471" t="s">
        <v>14</v>
      </c>
      <c r="H471">
        <f>MONTH(Table1[[#This Row],[Date]])</f>
        <v>10</v>
      </c>
      <c r="I471" s="2">
        <f>WEEKDAY(Table1[[#This Row],[Date]])</f>
        <v>6</v>
      </c>
      <c r="J471">
        <f>Table1[[#This Row],[Credit]]-Table1[[#This Row],[Debit]]</f>
        <v>-5</v>
      </c>
      <c r="K471" s="7" t="str">
        <f>TEXT(Table1[[#This Row],[Date]], "mmm")</f>
        <v>Oct</v>
      </c>
    </row>
    <row r="472" spans="1:11" hidden="1" x14ac:dyDescent="0.3">
      <c r="A472" s="1">
        <v>44491</v>
      </c>
      <c r="B472" t="s">
        <v>21</v>
      </c>
      <c r="C472">
        <v>178.9</v>
      </c>
      <c r="E472" t="s">
        <v>22</v>
      </c>
      <c r="F472" t="s">
        <v>17</v>
      </c>
      <c r="G472" t="s">
        <v>14</v>
      </c>
      <c r="H472">
        <f>MONTH(Table1[[#This Row],[Date]])</f>
        <v>10</v>
      </c>
      <c r="I472" s="2">
        <f>WEEKDAY(Table1[[#This Row],[Date]])</f>
        <v>6</v>
      </c>
      <c r="J472">
        <f>Table1[[#This Row],[Credit]]-Table1[[#This Row],[Debit]]</f>
        <v>-178.9</v>
      </c>
      <c r="K472" s="7" t="str">
        <f>TEXT(Table1[[#This Row],[Date]], "mmm")</f>
        <v>Oct</v>
      </c>
    </row>
    <row r="473" spans="1:11" hidden="1" x14ac:dyDescent="0.3">
      <c r="A473" s="1">
        <v>44492</v>
      </c>
      <c r="B473" t="s">
        <v>43</v>
      </c>
      <c r="C473">
        <v>46.2</v>
      </c>
      <c r="E473" t="s">
        <v>32</v>
      </c>
      <c r="F473" t="s">
        <v>13</v>
      </c>
      <c r="G473" t="s">
        <v>14</v>
      </c>
      <c r="H473">
        <f>MONTH(Table1[[#This Row],[Date]])</f>
        <v>10</v>
      </c>
      <c r="I473" s="2">
        <f>WEEKDAY(Table1[[#This Row],[Date]])</f>
        <v>7</v>
      </c>
      <c r="J473">
        <f>Table1[[#This Row],[Credit]]-Table1[[#This Row],[Debit]]</f>
        <v>-46.2</v>
      </c>
      <c r="K473" s="7" t="str">
        <f>TEXT(Table1[[#This Row],[Date]], "mmm")</f>
        <v>Oct</v>
      </c>
    </row>
    <row r="474" spans="1:11" hidden="1" x14ac:dyDescent="0.3">
      <c r="A474" s="1">
        <v>44493</v>
      </c>
      <c r="B474" t="s">
        <v>44</v>
      </c>
      <c r="C474">
        <v>21.099999999999998</v>
      </c>
      <c r="E474" t="s">
        <v>32</v>
      </c>
      <c r="F474" t="s">
        <v>13</v>
      </c>
      <c r="G474" t="s">
        <v>14</v>
      </c>
      <c r="H474">
        <f>MONTH(Table1[[#This Row],[Date]])</f>
        <v>10</v>
      </c>
      <c r="I474" s="2">
        <f>WEEKDAY(Table1[[#This Row],[Date]])</f>
        <v>1</v>
      </c>
      <c r="J474">
        <f>Table1[[#This Row],[Credit]]-Table1[[#This Row],[Debit]]</f>
        <v>-21.099999999999998</v>
      </c>
      <c r="K474" s="7" t="str">
        <f>TEXT(Table1[[#This Row],[Date]], "mmm")</f>
        <v>Oct</v>
      </c>
    </row>
    <row r="475" spans="1:11" hidden="1" x14ac:dyDescent="0.3">
      <c r="A475" s="1">
        <v>44494</v>
      </c>
      <c r="B475" t="s">
        <v>45</v>
      </c>
      <c r="C475">
        <v>55</v>
      </c>
      <c r="E475" t="s">
        <v>46</v>
      </c>
      <c r="F475" t="s">
        <v>47</v>
      </c>
      <c r="G475" t="s">
        <v>14</v>
      </c>
      <c r="H475">
        <f>MONTH(Table1[[#This Row],[Date]])</f>
        <v>10</v>
      </c>
      <c r="I475" s="2">
        <f>WEEKDAY(Table1[[#This Row],[Date]])</f>
        <v>2</v>
      </c>
      <c r="J475">
        <f>Table1[[#This Row],[Credit]]-Table1[[#This Row],[Debit]]</f>
        <v>-55</v>
      </c>
      <c r="K475" s="7" t="str">
        <f>TEXT(Table1[[#This Row],[Date]], "mmm")</f>
        <v>Oct</v>
      </c>
    </row>
    <row r="476" spans="1:11" hidden="1" x14ac:dyDescent="0.3">
      <c r="A476" s="1">
        <v>44494</v>
      </c>
      <c r="B476" t="s">
        <v>25</v>
      </c>
      <c r="C476">
        <v>71.500000000000028</v>
      </c>
      <c r="E476" t="s">
        <v>48</v>
      </c>
      <c r="F476" t="s">
        <v>20</v>
      </c>
      <c r="G476" t="s">
        <v>14</v>
      </c>
      <c r="H476">
        <f>MONTH(Table1[[#This Row],[Date]])</f>
        <v>10</v>
      </c>
      <c r="I476" s="2">
        <f>WEEKDAY(Table1[[#This Row],[Date]])</f>
        <v>2</v>
      </c>
      <c r="J476">
        <f>Table1[[#This Row],[Credit]]-Table1[[#This Row],[Debit]]</f>
        <v>-71.500000000000028</v>
      </c>
      <c r="K476" s="7" t="str">
        <f>TEXT(Table1[[#This Row],[Date]], "mmm")</f>
        <v>Oct</v>
      </c>
    </row>
    <row r="477" spans="1:11" hidden="1" x14ac:dyDescent="0.3">
      <c r="A477" s="1">
        <v>44494</v>
      </c>
      <c r="B477" t="s">
        <v>11</v>
      </c>
      <c r="C477">
        <v>5</v>
      </c>
      <c r="E477" t="s">
        <v>12</v>
      </c>
      <c r="F477" t="s">
        <v>13</v>
      </c>
      <c r="G477" t="s">
        <v>14</v>
      </c>
      <c r="H477">
        <f>MONTH(Table1[[#This Row],[Date]])</f>
        <v>10</v>
      </c>
      <c r="I477" s="2">
        <f>WEEKDAY(Table1[[#This Row],[Date]])</f>
        <v>2</v>
      </c>
      <c r="J477">
        <f>Table1[[#This Row],[Credit]]-Table1[[#This Row],[Debit]]</f>
        <v>-5</v>
      </c>
      <c r="K477" s="7" t="str">
        <f>TEXT(Table1[[#This Row],[Date]], "mmm")</f>
        <v>Oct</v>
      </c>
    </row>
    <row r="478" spans="1:11" hidden="1" x14ac:dyDescent="0.3">
      <c r="A478" s="1">
        <v>44495</v>
      </c>
      <c r="B478" t="s">
        <v>11</v>
      </c>
      <c r="C478">
        <v>5</v>
      </c>
      <c r="E478" t="s">
        <v>12</v>
      </c>
      <c r="F478" t="s">
        <v>13</v>
      </c>
      <c r="G478" t="s">
        <v>14</v>
      </c>
      <c r="H478">
        <f>MONTH(Table1[[#This Row],[Date]])</f>
        <v>10</v>
      </c>
      <c r="I478" s="2">
        <f>WEEKDAY(Table1[[#This Row],[Date]])</f>
        <v>3</v>
      </c>
      <c r="J478">
        <f>Table1[[#This Row],[Credit]]-Table1[[#This Row],[Debit]]</f>
        <v>-5</v>
      </c>
      <c r="K478" s="7" t="str">
        <f>TEXT(Table1[[#This Row],[Date]], "mmm")</f>
        <v>Oct</v>
      </c>
    </row>
    <row r="479" spans="1:11" hidden="1" x14ac:dyDescent="0.3">
      <c r="A479" s="1">
        <v>44496</v>
      </c>
      <c r="B479" t="s">
        <v>11</v>
      </c>
      <c r="C479">
        <v>5</v>
      </c>
      <c r="E479" t="s">
        <v>12</v>
      </c>
      <c r="F479" t="s">
        <v>13</v>
      </c>
      <c r="G479" t="s">
        <v>14</v>
      </c>
      <c r="H479">
        <f>MONTH(Table1[[#This Row],[Date]])</f>
        <v>10</v>
      </c>
      <c r="I479" s="2">
        <f>WEEKDAY(Table1[[#This Row],[Date]])</f>
        <v>4</v>
      </c>
      <c r="J479">
        <f>Table1[[#This Row],[Credit]]-Table1[[#This Row],[Debit]]</f>
        <v>-5</v>
      </c>
      <c r="K479" s="7" t="str">
        <f>TEXT(Table1[[#This Row],[Date]], "mmm")</f>
        <v>Oct</v>
      </c>
    </row>
    <row r="480" spans="1:11" hidden="1" x14ac:dyDescent="0.3">
      <c r="A480" s="1">
        <v>44497</v>
      </c>
      <c r="B480" t="s">
        <v>11</v>
      </c>
      <c r="C480">
        <v>5</v>
      </c>
      <c r="E480" t="s">
        <v>12</v>
      </c>
      <c r="F480" t="s">
        <v>13</v>
      </c>
      <c r="G480" t="s">
        <v>14</v>
      </c>
      <c r="H480">
        <f>MONTH(Table1[[#This Row],[Date]])</f>
        <v>10</v>
      </c>
      <c r="I480" s="2">
        <f>WEEKDAY(Table1[[#This Row],[Date]])</f>
        <v>5</v>
      </c>
      <c r="J480">
        <f>Table1[[#This Row],[Credit]]-Table1[[#This Row],[Debit]]</f>
        <v>-5</v>
      </c>
      <c r="K480" s="7" t="str">
        <f>TEXT(Table1[[#This Row],[Date]], "mmm")</f>
        <v>Oct</v>
      </c>
    </row>
    <row r="481" spans="1:11" hidden="1" x14ac:dyDescent="0.3">
      <c r="A481" s="1">
        <v>44498</v>
      </c>
      <c r="B481" t="s">
        <v>11</v>
      </c>
      <c r="C481">
        <v>5</v>
      </c>
      <c r="E481" t="s">
        <v>12</v>
      </c>
      <c r="F481" t="s">
        <v>13</v>
      </c>
      <c r="G481" t="s">
        <v>14</v>
      </c>
      <c r="H481">
        <f>MONTH(Table1[[#This Row],[Date]])</f>
        <v>10</v>
      </c>
      <c r="I481" s="2">
        <f>WEEKDAY(Table1[[#This Row],[Date]])</f>
        <v>6</v>
      </c>
      <c r="J481">
        <f>Table1[[#This Row],[Credit]]-Table1[[#This Row],[Debit]]</f>
        <v>-5</v>
      </c>
      <c r="K481" s="7" t="str">
        <f>TEXT(Table1[[#This Row],[Date]], "mmm")</f>
        <v>Oct</v>
      </c>
    </row>
    <row r="482" spans="1:11" hidden="1" x14ac:dyDescent="0.3">
      <c r="A482" s="1">
        <v>44498</v>
      </c>
      <c r="B482" t="s">
        <v>21</v>
      </c>
      <c r="C482">
        <v>189</v>
      </c>
      <c r="E482" t="s">
        <v>22</v>
      </c>
      <c r="F482" t="s">
        <v>17</v>
      </c>
      <c r="G482" t="s">
        <v>14</v>
      </c>
      <c r="H482">
        <f>MONTH(Table1[[#This Row],[Date]])</f>
        <v>10</v>
      </c>
      <c r="I482" s="2">
        <f>WEEKDAY(Table1[[#This Row],[Date]])</f>
        <v>6</v>
      </c>
      <c r="J482">
        <f>Table1[[#This Row],[Credit]]-Table1[[#This Row],[Debit]]</f>
        <v>-189</v>
      </c>
      <c r="K482" s="7" t="str">
        <f>TEXT(Table1[[#This Row],[Date]], "mmm")</f>
        <v>Oct</v>
      </c>
    </row>
    <row r="483" spans="1:11" hidden="1" x14ac:dyDescent="0.3">
      <c r="A483" s="1">
        <v>44499</v>
      </c>
      <c r="B483" t="s">
        <v>49</v>
      </c>
      <c r="C483">
        <v>133.80000000000001</v>
      </c>
      <c r="E483" t="s">
        <v>30</v>
      </c>
      <c r="F483" t="s">
        <v>28</v>
      </c>
      <c r="G483" t="s">
        <v>14</v>
      </c>
      <c r="H483">
        <f>MONTH(Table1[[#This Row],[Date]])</f>
        <v>10</v>
      </c>
      <c r="I483" s="2">
        <f>WEEKDAY(Table1[[#This Row],[Date]])</f>
        <v>7</v>
      </c>
      <c r="J483">
        <f>Table1[[#This Row],[Credit]]-Table1[[#This Row],[Debit]]</f>
        <v>-133.80000000000001</v>
      </c>
      <c r="K483" s="7" t="str">
        <f>TEXT(Table1[[#This Row],[Date]], "mmm")</f>
        <v>Oct</v>
      </c>
    </row>
    <row r="484" spans="1:11" hidden="1" x14ac:dyDescent="0.3">
      <c r="A484" s="1">
        <v>44499</v>
      </c>
      <c r="B484" t="s">
        <v>50</v>
      </c>
      <c r="C484">
        <v>184.39999999999998</v>
      </c>
      <c r="E484" t="s">
        <v>27</v>
      </c>
      <c r="F484" t="s">
        <v>28</v>
      </c>
      <c r="G484" t="s">
        <v>14</v>
      </c>
      <c r="H484">
        <f>MONTH(Table1[[#This Row],[Date]])</f>
        <v>10</v>
      </c>
      <c r="I484" s="2">
        <f>WEEKDAY(Table1[[#This Row],[Date]])</f>
        <v>7</v>
      </c>
      <c r="J484">
        <f>Table1[[#This Row],[Credit]]-Table1[[#This Row],[Debit]]</f>
        <v>-184.39999999999998</v>
      </c>
      <c r="K484" s="7" t="str">
        <f>TEXT(Table1[[#This Row],[Date]], "mmm")</f>
        <v>Oct</v>
      </c>
    </row>
    <row r="485" spans="1:11" hidden="1" x14ac:dyDescent="0.3">
      <c r="A485" s="1">
        <v>44500</v>
      </c>
      <c r="B485" t="s">
        <v>29</v>
      </c>
      <c r="C485">
        <v>154.49999999999997</v>
      </c>
      <c r="E485" t="s">
        <v>30</v>
      </c>
      <c r="F485" t="s">
        <v>28</v>
      </c>
      <c r="G485" t="s">
        <v>14</v>
      </c>
      <c r="H485">
        <f>MONTH(Table1[[#This Row],[Date]])</f>
        <v>10</v>
      </c>
      <c r="I485" s="2">
        <f>WEEKDAY(Table1[[#This Row],[Date]])</f>
        <v>1</v>
      </c>
      <c r="J485">
        <f>Table1[[#This Row],[Credit]]-Table1[[#This Row],[Debit]]</f>
        <v>-154.49999999999997</v>
      </c>
      <c r="K485" s="7" t="str">
        <f>TEXT(Table1[[#This Row],[Date]], "mmm")</f>
        <v>Oct</v>
      </c>
    </row>
    <row r="486" spans="1:11" hidden="1" x14ac:dyDescent="0.3">
      <c r="A486" s="1">
        <v>44500</v>
      </c>
      <c r="B486" t="s">
        <v>33</v>
      </c>
      <c r="C486">
        <v>32.1</v>
      </c>
      <c r="E486" t="s">
        <v>34</v>
      </c>
      <c r="F486" t="s">
        <v>20</v>
      </c>
      <c r="G486" t="s">
        <v>14</v>
      </c>
      <c r="H486">
        <f>MONTH(Table1[[#This Row],[Date]])</f>
        <v>10</v>
      </c>
      <c r="I486" s="2">
        <f>WEEKDAY(Table1[[#This Row],[Date]])</f>
        <v>1</v>
      </c>
      <c r="J486">
        <f>Table1[[#This Row],[Credit]]-Table1[[#This Row],[Debit]]</f>
        <v>-32.1</v>
      </c>
      <c r="K486" s="7" t="str">
        <f>TEXT(Table1[[#This Row],[Date]], "mmm")</f>
        <v>Oct</v>
      </c>
    </row>
    <row r="487" spans="1:11" hidden="1" x14ac:dyDescent="0.3">
      <c r="A487" s="1">
        <v>44500</v>
      </c>
      <c r="B487" t="s">
        <v>56</v>
      </c>
      <c r="C487">
        <v>15</v>
      </c>
      <c r="E487" t="s">
        <v>32</v>
      </c>
      <c r="F487" t="s">
        <v>13</v>
      </c>
      <c r="G487" t="s">
        <v>14</v>
      </c>
      <c r="H487">
        <f>MONTH(Table1[[#This Row],[Date]])</f>
        <v>10</v>
      </c>
      <c r="I487" s="2">
        <f>WEEKDAY(Table1[[#This Row],[Date]])</f>
        <v>1</v>
      </c>
      <c r="J487">
        <f>Table1[[#This Row],[Credit]]-Table1[[#This Row],[Debit]]</f>
        <v>-15</v>
      </c>
      <c r="K487" s="7" t="str">
        <f>TEXT(Table1[[#This Row],[Date]], "mmm")</f>
        <v>Oct</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C9FD2-933D-41EC-8C77-D36D7EE86901}">
  <dimension ref="J1:J39"/>
  <sheetViews>
    <sheetView showGridLines="0" topLeftCell="A2" zoomScaleNormal="100" workbookViewId="0">
      <selection activeCell="V22" sqref="V22"/>
    </sheetView>
  </sheetViews>
  <sheetFormatPr defaultRowHeight="14.4" x14ac:dyDescent="0.3"/>
  <cols>
    <col min="1" max="1" width="0.77734375" style="8" customWidth="1"/>
    <col min="2" max="20" width="8.88671875" style="8"/>
    <col min="21" max="21" width="13.6640625" style="8" customWidth="1"/>
    <col min="22" max="16384" width="8.88671875" style="8"/>
  </cols>
  <sheetData>
    <row r="1" spans="10:10" ht="1.8" customHeight="1" x14ac:dyDescent="0.3"/>
    <row r="2" spans="10:10" ht="6" customHeight="1" x14ac:dyDescent="0.3"/>
    <row r="13" spans="10:10" x14ac:dyDescent="0.3">
      <c r="J13" s="8" t="s">
        <v>64</v>
      </c>
    </row>
    <row r="38" s="8" customFormat="1" x14ac:dyDescent="0.3"/>
    <row r="39" s="8" customFormat="1" x14ac:dyDescent="0.3"/>
  </sheetData>
  <sheetProtection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16</xdr:col>
                    <xdr:colOff>502920</xdr:colOff>
                    <xdr:row>25</xdr:row>
                    <xdr:rowOff>15240</xdr:rowOff>
                  </from>
                  <to>
                    <xdr:col>17</xdr:col>
                    <xdr:colOff>571500</xdr:colOff>
                    <xdr:row>26</xdr:row>
                    <xdr:rowOff>38100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18</xdr:col>
                    <xdr:colOff>0</xdr:colOff>
                    <xdr:row>25</xdr:row>
                    <xdr:rowOff>15240</xdr:rowOff>
                  </from>
                  <to>
                    <xdr:col>19</xdr:col>
                    <xdr:colOff>30480</xdr:colOff>
                    <xdr:row>26</xdr:row>
                    <xdr:rowOff>38100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1F179-5CB8-4EFB-ADD7-D407D8C71024}">
  <dimension ref="A1:N274"/>
  <sheetViews>
    <sheetView workbookViewId="0"/>
  </sheetViews>
  <sheetFormatPr defaultRowHeight="14.4" x14ac:dyDescent="0.3"/>
  <cols>
    <col min="7" max="7" width="12.6640625" bestFit="1" customWidth="1"/>
    <col min="8" max="8" width="16.44140625" bestFit="1" customWidth="1"/>
    <col min="9" max="9" width="12" bestFit="1" customWidth="1"/>
    <col min="10" max="10" width="9.109375" bestFit="1" customWidth="1"/>
    <col min="11" max="11" width="9.88671875" bestFit="1" customWidth="1"/>
    <col min="12" max="12" width="7" bestFit="1" customWidth="1"/>
    <col min="13" max="13" width="7.6640625" bestFit="1" customWidth="1"/>
    <col min="14" max="14" width="10.77734375" bestFit="1" customWidth="1"/>
    <col min="15" max="15" width="14.109375" bestFit="1" customWidth="1"/>
    <col min="16" max="16" width="10.77734375" bestFit="1" customWidth="1"/>
  </cols>
  <sheetData>
    <row r="1" spans="1:8" x14ac:dyDescent="0.3">
      <c r="A1" s="10" t="s">
        <v>100</v>
      </c>
    </row>
    <row r="2" spans="1:8" x14ac:dyDescent="0.3">
      <c r="B2" s="1" t="s">
        <v>0</v>
      </c>
    </row>
    <row r="3" spans="1:8" x14ac:dyDescent="0.3">
      <c r="B3" s="1">
        <v>44200</v>
      </c>
    </row>
    <row r="4" spans="1:8" x14ac:dyDescent="0.3">
      <c r="B4" s="1">
        <v>44201</v>
      </c>
      <c r="D4" t="s">
        <v>65</v>
      </c>
      <c r="E4" s="1">
        <f>MIN(B:B)</f>
        <v>44200</v>
      </c>
      <c r="G4" s="3" t="s">
        <v>5</v>
      </c>
      <c r="H4" t="s">
        <v>68</v>
      </c>
    </row>
    <row r="5" spans="1:8" x14ac:dyDescent="0.3">
      <c r="B5" s="1">
        <v>44202</v>
      </c>
      <c r="D5" t="s">
        <v>66</v>
      </c>
      <c r="E5" s="1">
        <f>MAX(B:B)</f>
        <v>44500</v>
      </c>
      <c r="G5" t="s">
        <v>9</v>
      </c>
      <c r="H5" s="5">
        <v>50000</v>
      </c>
    </row>
    <row r="6" spans="1:8" x14ac:dyDescent="0.3">
      <c r="B6" s="1">
        <v>44203</v>
      </c>
      <c r="G6" t="s">
        <v>37</v>
      </c>
      <c r="H6" s="5">
        <v>15440</v>
      </c>
    </row>
    <row r="7" spans="1:8" x14ac:dyDescent="0.3">
      <c r="B7" s="1">
        <v>44204</v>
      </c>
      <c r="G7" t="s">
        <v>17</v>
      </c>
      <c r="H7" s="5">
        <v>-16399.800000000003</v>
      </c>
    </row>
    <row r="8" spans="1:8" x14ac:dyDescent="0.3">
      <c r="B8" s="1">
        <v>44207</v>
      </c>
      <c r="G8" t="s">
        <v>28</v>
      </c>
      <c r="H8" s="5">
        <v>-7027.6</v>
      </c>
    </row>
    <row r="9" spans="1:8" x14ac:dyDescent="0.3">
      <c r="B9" s="1">
        <v>44208</v>
      </c>
      <c r="G9" t="s">
        <v>20</v>
      </c>
      <c r="H9" s="5">
        <v>-3514.6999999999994</v>
      </c>
    </row>
    <row r="10" spans="1:8" x14ac:dyDescent="0.3">
      <c r="B10" s="1">
        <v>44209</v>
      </c>
      <c r="G10" t="s">
        <v>13</v>
      </c>
      <c r="H10" s="5">
        <v>-2473.8999999999996</v>
      </c>
    </row>
    <row r="11" spans="1:8" x14ac:dyDescent="0.3">
      <c r="B11" s="1">
        <v>44210</v>
      </c>
      <c r="G11" t="s">
        <v>47</v>
      </c>
      <c r="H11" s="5">
        <v>-550</v>
      </c>
    </row>
    <row r="12" spans="1:8" x14ac:dyDescent="0.3">
      <c r="B12" s="1">
        <v>44211</v>
      </c>
      <c r="G12" t="s">
        <v>54</v>
      </c>
      <c r="H12" s="5">
        <v>-225</v>
      </c>
    </row>
    <row r="13" spans="1:8" x14ac:dyDescent="0.3">
      <c r="B13" s="1">
        <v>44212</v>
      </c>
      <c r="G13" t="s">
        <v>67</v>
      </c>
      <c r="H13" s="5">
        <v>35249</v>
      </c>
    </row>
    <row r="14" spans="1:8" x14ac:dyDescent="0.3">
      <c r="B14" s="1">
        <v>44213</v>
      </c>
    </row>
    <row r="15" spans="1:8" x14ac:dyDescent="0.3">
      <c r="B15" s="1">
        <v>44214</v>
      </c>
      <c r="G15" s="3" t="s">
        <v>6</v>
      </c>
      <c r="H15" t="s">
        <v>14</v>
      </c>
    </row>
    <row r="16" spans="1:8" x14ac:dyDescent="0.3">
      <c r="B16" s="1">
        <v>44215</v>
      </c>
    </row>
    <row r="17" spans="2:9" x14ac:dyDescent="0.3">
      <c r="B17" s="1">
        <v>44216</v>
      </c>
      <c r="G17" s="3" t="s">
        <v>4</v>
      </c>
      <c r="H17" t="s">
        <v>69</v>
      </c>
    </row>
    <row r="18" spans="2:9" x14ac:dyDescent="0.3">
      <c r="B18" s="1">
        <v>44217</v>
      </c>
      <c r="G18" t="s">
        <v>16</v>
      </c>
      <c r="H18" s="5">
        <v>9000</v>
      </c>
    </row>
    <row r="19" spans="2:9" x14ac:dyDescent="0.3">
      <c r="B19" s="1">
        <v>44218</v>
      </c>
      <c r="G19" t="s">
        <v>22</v>
      </c>
      <c r="H19" s="5">
        <v>6454.0999999999995</v>
      </c>
    </row>
    <row r="20" spans="2:9" x14ac:dyDescent="0.3">
      <c r="B20" s="1">
        <v>44219</v>
      </c>
      <c r="G20" t="s">
        <v>30</v>
      </c>
      <c r="H20" s="5">
        <v>4303.6000000000004</v>
      </c>
    </row>
    <row r="21" spans="2:9" x14ac:dyDescent="0.3">
      <c r="B21" s="1">
        <v>44220</v>
      </c>
      <c r="G21" t="s">
        <v>27</v>
      </c>
      <c r="H21" s="5">
        <v>1812.5999999999995</v>
      </c>
    </row>
    <row r="22" spans="2:9" x14ac:dyDescent="0.3">
      <c r="B22" s="1">
        <v>44221</v>
      </c>
      <c r="G22" t="s">
        <v>19</v>
      </c>
      <c r="H22" s="5">
        <v>1500</v>
      </c>
    </row>
    <row r="23" spans="2:9" x14ac:dyDescent="0.3">
      <c r="B23" s="1">
        <v>44222</v>
      </c>
      <c r="G23" t="s">
        <v>67</v>
      </c>
      <c r="H23" s="5">
        <v>23070.3</v>
      </c>
    </row>
    <row r="24" spans="2:9" x14ac:dyDescent="0.3">
      <c r="B24" s="1">
        <v>44223</v>
      </c>
    </row>
    <row r="25" spans="2:9" x14ac:dyDescent="0.3">
      <c r="B25" s="1">
        <v>44224</v>
      </c>
    </row>
    <row r="26" spans="2:9" x14ac:dyDescent="0.3">
      <c r="B26" s="1">
        <v>44225</v>
      </c>
    </row>
    <row r="27" spans="2:9" x14ac:dyDescent="0.3">
      <c r="B27" s="1">
        <v>44226</v>
      </c>
      <c r="G27" t="s">
        <v>70</v>
      </c>
    </row>
    <row r="28" spans="2:9" x14ac:dyDescent="0.3">
      <c r="B28" s="1">
        <v>44227</v>
      </c>
    </row>
    <row r="29" spans="2:9" x14ac:dyDescent="0.3">
      <c r="B29" s="1">
        <v>44228</v>
      </c>
      <c r="G29" t="s">
        <v>69</v>
      </c>
      <c r="H29" t="s">
        <v>71</v>
      </c>
      <c r="I29" t="s">
        <v>68</v>
      </c>
    </row>
    <row r="30" spans="2:9" x14ac:dyDescent="0.3">
      <c r="B30" s="1">
        <v>44229</v>
      </c>
      <c r="G30" s="5">
        <v>30190.999999999993</v>
      </c>
      <c r="H30" s="5">
        <v>65440</v>
      </c>
      <c r="I30" s="5">
        <v>35249.000000000007</v>
      </c>
    </row>
    <row r="31" spans="2:9" x14ac:dyDescent="0.3">
      <c r="B31" s="1">
        <v>44230</v>
      </c>
    </row>
    <row r="32" spans="2:9" x14ac:dyDescent="0.3">
      <c r="B32" s="1">
        <v>44231</v>
      </c>
    </row>
    <row r="33" spans="2:9" x14ac:dyDescent="0.3">
      <c r="B33" s="1">
        <v>44232</v>
      </c>
    </row>
    <row r="34" spans="2:9" x14ac:dyDescent="0.3">
      <c r="B34" s="1">
        <v>44235</v>
      </c>
    </row>
    <row r="35" spans="2:9" x14ac:dyDescent="0.3">
      <c r="B35" s="1">
        <v>44236</v>
      </c>
    </row>
    <row r="36" spans="2:9" x14ac:dyDescent="0.3">
      <c r="B36" s="1">
        <v>44237</v>
      </c>
    </row>
    <row r="37" spans="2:9" x14ac:dyDescent="0.3">
      <c r="B37" s="1">
        <v>44238</v>
      </c>
      <c r="G37" t="s">
        <v>72</v>
      </c>
    </row>
    <row r="38" spans="2:9" x14ac:dyDescent="0.3">
      <c r="B38" s="1">
        <v>44239</v>
      </c>
      <c r="G38" s="3" t="s">
        <v>6</v>
      </c>
      <c r="H38" t="s">
        <v>10</v>
      </c>
    </row>
    <row r="39" spans="2:9" x14ac:dyDescent="0.3">
      <c r="B39" s="1">
        <v>44240</v>
      </c>
    </row>
    <row r="40" spans="2:9" x14ac:dyDescent="0.3">
      <c r="B40" s="1">
        <v>44241</v>
      </c>
      <c r="G40" s="3" t="s">
        <v>4</v>
      </c>
      <c r="H40" t="s">
        <v>68</v>
      </c>
    </row>
    <row r="41" spans="2:9" x14ac:dyDescent="0.3">
      <c r="B41" s="1">
        <v>44242</v>
      </c>
      <c r="G41" t="s">
        <v>73</v>
      </c>
      <c r="H41" s="5">
        <v>50000</v>
      </c>
      <c r="I41" s="5">
        <v>50000</v>
      </c>
    </row>
    <row r="42" spans="2:9" x14ac:dyDescent="0.3">
      <c r="B42" s="1">
        <v>44243</v>
      </c>
      <c r="G42" t="s">
        <v>38</v>
      </c>
      <c r="H42" s="5">
        <v>4500</v>
      </c>
      <c r="I42" s="5">
        <v>4500</v>
      </c>
    </row>
    <row r="43" spans="2:9" x14ac:dyDescent="0.3">
      <c r="B43" s="1">
        <v>44244</v>
      </c>
      <c r="G43" t="s">
        <v>36</v>
      </c>
      <c r="H43" s="5">
        <v>10940</v>
      </c>
      <c r="I43" s="5">
        <v>10940</v>
      </c>
    </row>
    <row r="44" spans="2:9" x14ac:dyDescent="0.3">
      <c r="B44" s="1">
        <v>44245</v>
      </c>
      <c r="G44" t="s">
        <v>67</v>
      </c>
      <c r="H44" s="5">
        <v>65440</v>
      </c>
      <c r="I44" s="6">
        <v>65440</v>
      </c>
    </row>
    <row r="45" spans="2:9" x14ac:dyDescent="0.3">
      <c r="B45" s="1">
        <v>44246</v>
      </c>
    </row>
    <row r="46" spans="2:9" x14ac:dyDescent="0.3">
      <c r="B46" s="1">
        <v>44247</v>
      </c>
    </row>
    <row r="47" spans="2:9" x14ac:dyDescent="0.3">
      <c r="B47" s="1">
        <v>44248</v>
      </c>
    </row>
    <row r="48" spans="2:9" x14ac:dyDescent="0.3">
      <c r="B48" s="1">
        <v>44249</v>
      </c>
      <c r="G48" t="s">
        <v>74</v>
      </c>
    </row>
    <row r="49" spans="2:13" x14ac:dyDescent="0.3">
      <c r="B49" s="1">
        <v>44250</v>
      </c>
      <c r="G49" s="4"/>
      <c r="H49" s="4"/>
    </row>
    <row r="50" spans="2:13" x14ac:dyDescent="0.3">
      <c r="B50" s="1">
        <v>44251</v>
      </c>
      <c r="G50" s="3" t="s">
        <v>6</v>
      </c>
      <c r="H50" t="s">
        <v>14</v>
      </c>
    </row>
    <row r="51" spans="2:13" x14ac:dyDescent="0.3">
      <c r="B51" s="1">
        <v>44252</v>
      </c>
    </row>
    <row r="52" spans="2:13" x14ac:dyDescent="0.3">
      <c r="B52" s="1">
        <v>44253</v>
      </c>
      <c r="G52" s="3" t="s">
        <v>69</v>
      </c>
      <c r="H52" s="3" t="s">
        <v>5</v>
      </c>
    </row>
    <row r="53" spans="2:13" x14ac:dyDescent="0.3">
      <c r="B53" s="1">
        <v>44254</v>
      </c>
      <c r="G53" s="3" t="s">
        <v>62</v>
      </c>
      <c r="H53" t="s">
        <v>17</v>
      </c>
      <c r="I53" t="s">
        <v>28</v>
      </c>
      <c r="J53" t="s">
        <v>20</v>
      </c>
      <c r="K53" t="s">
        <v>13</v>
      </c>
      <c r="L53" t="s">
        <v>47</v>
      </c>
      <c r="M53" t="s">
        <v>54</v>
      </c>
    </row>
    <row r="54" spans="2:13" x14ac:dyDescent="0.3">
      <c r="B54" s="1">
        <v>44255</v>
      </c>
      <c r="G54" s="2">
        <v>1</v>
      </c>
      <c r="H54" s="5">
        <v>1654.1999999999998</v>
      </c>
      <c r="I54" s="5">
        <v>1146.5</v>
      </c>
      <c r="J54" s="5">
        <v>530.6</v>
      </c>
      <c r="K54" s="5">
        <v>293.3</v>
      </c>
      <c r="L54" s="5">
        <v>55</v>
      </c>
      <c r="M54" s="5"/>
    </row>
    <row r="55" spans="2:13" x14ac:dyDescent="0.3">
      <c r="B55" s="1">
        <v>44256</v>
      </c>
      <c r="G55" s="2">
        <v>2</v>
      </c>
      <c r="H55" s="5">
        <v>2646.3</v>
      </c>
      <c r="I55" s="5">
        <v>696.4</v>
      </c>
      <c r="J55" s="5">
        <v>712.1</v>
      </c>
      <c r="K55" s="5">
        <v>353.2</v>
      </c>
      <c r="L55" s="5">
        <v>220</v>
      </c>
      <c r="M55" s="5">
        <v>75</v>
      </c>
    </row>
    <row r="56" spans="2:13" x14ac:dyDescent="0.3">
      <c r="B56" s="1">
        <v>44257</v>
      </c>
      <c r="G56" s="2">
        <v>3</v>
      </c>
      <c r="H56" s="5">
        <v>3624.3</v>
      </c>
      <c r="I56" s="5">
        <v>805.7</v>
      </c>
      <c r="J56" s="5">
        <v>662.00000000000011</v>
      </c>
      <c r="K56" s="5">
        <v>297.10000000000002</v>
      </c>
      <c r="L56" s="5">
        <v>55</v>
      </c>
      <c r="M56" s="5">
        <v>150</v>
      </c>
    </row>
    <row r="57" spans="2:13" x14ac:dyDescent="0.3">
      <c r="B57" s="1">
        <v>44258</v>
      </c>
      <c r="G57" s="2">
        <v>4</v>
      </c>
      <c r="H57" s="5">
        <v>1685.1</v>
      </c>
      <c r="I57" s="5">
        <v>938.4</v>
      </c>
      <c r="J57" s="5">
        <v>518.29999999999995</v>
      </c>
      <c r="K57" s="5">
        <v>367.5</v>
      </c>
      <c r="L57" s="5">
        <v>55</v>
      </c>
      <c r="M57" s="5"/>
    </row>
    <row r="58" spans="2:13" x14ac:dyDescent="0.3">
      <c r="B58" s="1">
        <v>44259</v>
      </c>
      <c r="G58" s="2">
        <v>5</v>
      </c>
      <c r="H58" s="5">
        <v>2542.1</v>
      </c>
      <c r="I58" s="5">
        <v>702.3</v>
      </c>
      <c r="J58" s="5">
        <v>517.6</v>
      </c>
      <c r="K58" s="5">
        <v>341.20000000000005</v>
      </c>
      <c r="L58" s="5">
        <v>55</v>
      </c>
      <c r="M58" s="5"/>
    </row>
    <row r="59" spans="2:13" x14ac:dyDescent="0.3">
      <c r="B59" s="1">
        <v>44260</v>
      </c>
      <c r="G59" s="2">
        <v>6</v>
      </c>
      <c r="H59" s="5">
        <v>3578.6000000000004</v>
      </c>
      <c r="I59" s="5">
        <v>745.8</v>
      </c>
      <c r="J59" s="5">
        <v>366.20000000000005</v>
      </c>
      <c r="K59" s="5">
        <v>305.2</v>
      </c>
      <c r="L59" s="5">
        <v>55</v>
      </c>
      <c r="M59" s="5"/>
    </row>
    <row r="60" spans="2:13" x14ac:dyDescent="0.3">
      <c r="B60" s="1">
        <v>44263</v>
      </c>
      <c r="G60" s="2">
        <v>7</v>
      </c>
      <c r="H60" s="5">
        <v>669.2</v>
      </c>
      <c r="I60" s="5">
        <v>1992.5000000000002</v>
      </c>
      <c r="J60" s="5">
        <v>207.90000000000003</v>
      </c>
      <c r="K60" s="5">
        <v>516.4</v>
      </c>
      <c r="L60" s="5">
        <v>55</v>
      </c>
      <c r="M60" s="5"/>
    </row>
    <row r="61" spans="2:13" x14ac:dyDescent="0.3">
      <c r="B61" s="1">
        <v>44264</v>
      </c>
      <c r="G61" s="2" t="s">
        <v>67</v>
      </c>
      <c r="H61" s="5">
        <v>16399.8</v>
      </c>
      <c r="I61" s="5">
        <v>7027.6</v>
      </c>
      <c r="J61" s="5">
        <v>3514.7000000000003</v>
      </c>
      <c r="K61" s="5">
        <v>2473.9</v>
      </c>
      <c r="L61" s="5">
        <v>550</v>
      </c>
      <c r="M61" s="5">
        <v>225</v>
      </c>
    </row>
    <row r="62" spans="2:13" x14ac:dyDescent="0.3">
      <c r="B62" s="1">
        <v>44265</v>
      </c>
    </row>
    <row r="63" spans="2:13" x14ac:dyDescent="0.3">
      <c r="B63" s="1">
        <v>44266</v>
      </c>
    </row>
    <row r="64" spans="2:13" x14ac:dyDescent="0.3">
      <c r="B64" s="1">
        <v>44267</v>
      </c>
      <c r="G64" t="s">
        <v>75</v>
      </c>
    </row>
    <row r="65" spans="2:14" x14ac:dyDescent="0.3">
      <c r="B65" s="1">
        <v>44268</v>
      </c>
    </row>
    <row r="66" spans="2:14" x14ac:dyDescent="0.3">
      <c r="B66" s="1">
        <v>44269</v>
      </c>
      <c r="G66" s="3" t="s">
        <v>6</v>
      </c>
      <c r="H66" t="s">
        <v>14</v>
      </c>
    </row>
    <row r="67" spans="2:14" x14ac:dyDescent="0.3">
      <c r="B67" s="1">
        <v>44270</v>
      </c>
    </row>
    <row r="68" spans="2:14" x14ac:dyDescent="0.3">
      <c r="B68" s="1">
        <v>44271</v>
      </c>
      <c r="G68" s="3" t="s">
        <v>5</v>
      </c>
      <c r="H68" t="s">
        <v>69</v>
      </c>
    </row>
    <row r="69" spans="2:14" x14ac:dyDescent="0.3">
      <c r="B69" s="1">
        <v>44272</v>
      </c>
      <c r="G69" t="s">
        <v>17</v>
      </c>
      <c r="H69" s="5">
        <v>16399.8</v>
      </c>
      <c r="I69" s="5">
        <v>16399.8</v>
      </c>
    </row>
    <row r="70" spans="2:14" x14ac:dyDescent="0.3">
      <c r="B70" s="1">
        <v>44273</v>
      </c>
      <c r="G70" t="s">
        <v>28</v>
      </c>
      <c r="H70" s="5">
        <v>7027.6000000000013</v>
      </c>
      <c r="I70" s="5">
        <v>7027.6000000000013</v>
      </c>
    </row>
    <row r="71" spans="2:14" x14ac:dyDescent="0.3">
      <c r="B71" s="1">
        <v>44274</v>
      </c>
      <c r="G71" t="s">
        <v>20</v>
      </c>
      <c r="H71" s="5">
        <v>3514.6999999999989</v>
      </c>
      <c r="I71" s="5">
        <v>3514.6999999999989</v>
      </c>
    </row>
    <row r="72" spans="2:14" x14ac:dyDescent="0.3">
      <c r="B72" s="1">
        <v>44275</v>
      </c>
      <c r="G72" t="s">
        <v>13</v>
      </c>
      <c r="H72" s="5">
        <v>2473.9</v>
      </c>
      <c r="I72" s="5">
        <v>2473.9</v>
      </c>
    </row>
    <row r="73" spans="2:14" x14ac:dyDescent="0.3">
      <c r="B73" s="1">
        <v>44276</v>
      </c>
      <c r="G73" t="s">
        <v>47</v>
      </c>
      <c r="H73" s="5">
        <v>550</v>
      </c>
      <c r="I73" s="5">
        <v>550</v>
      </c>
    </row>
    <row r="74" spans="2:14" x14ac:dyDescent="0.3">
      <c r="B74" s="1">
        <v>44277</v>
      </c>
      <c r="G74" t="s">
        <v>54</v>
      </c>
      <c r="H74" s="5">
        <v>225</v>
      </c>
      <c r="I74" s="5">
        <v>225</v>
      </c>
    </row>
    <row r="75" spans="2:14" x14ac:dyDescent="0.3">
      <c r="B75" s="1">
        <v>44278</v>
      </c>
      <c r="G75" t="s">
        <v>67</v>
      </c>
      <c r="H75" s="5">
        <v>30191</v>
      </c>
      <c r="I75" s="6">
        <v>30191</v>
      </c>
    </row>
    <row r="76" spans="2:14" x14ac:dyDescent="0.3">
      <c r="B76" s="1">
        <v>44279</v>
      </c>
    </row>
    <row r="77" spans="2:14" x14ac:dyDescent="0.3">
      <c r="B77" s="1">
        <v>44280</v>
      </c>
    </row>
    <row r="78" spans="2:14" x14ac:dyDescent="0.3">
      <c r="B78" s="1">
        <v>44281</v>
      </c>
      <c r="G78" t="s">
        <v>76</v>
      </c>
    </row>
    <row r="79" spans="2:14" x14ac:dyDescent="0.3">
      <c r="B79" s="1">
        <v>44282</v>
      </c>
      <c r="M79">
        <v>1</v>
      </c>
    </row>
    <row r="80" spans="2:14" x14ac:dyDescent="0.3">
      <c r="B80" s="1">
        <v>44283</v>
      </c>
      <c r="G80" s="3" t="s">
        <v>77</v>
      </c>
      <c r="H80" t="s">
        <v>69</v>
      </c>
      <c r="J80" s="3" t="s">
        <v>77</v>
      </c>
      <c r="K80" t="s">
        <v>68</v>
      </c>
      <c r="M80" t="s">
        <v>77</v>
      </c>
      <c r="N80" t="str">
        <f>IF($M$79=1,H80,K80)</f>
        <v>Sum of Debit</v>
      </c>
    </row>
    <row r="81" spans="2:14" x14ac:dyDescent="0.3">
      <c r="B81" s="1">
        <v>44284</v>
      </c>
      <c r="G81" t="s">
        <v>78</v>
      </c>
      <c r="H81" s="5">
        <v>2874</v>
      </c>
      <c r="J81" t="s">
        <v>78</v>
      </c>
      <c r="K81" s="5">
        <v>11126</v>
      </c>
      <c r="M81" t="s">
        <v>78</v>
      </c>
      <c r="N81">
        <f t="shared" ref="N81:N90" si="0">IF($M$79=1,H81,K81)</f>
        <v>2874</v>
      </c>
    </row>
    <row r="82" spans="2:14" x14ac:dyDescent="0.3">
      <c r="B82" s="1">
        <v>44285</v>
      </c>
      <c r="G82" t="s">
        <v>79</v>
      </c>
      <c r="H82" s="5">
        <v>2904.6000000000004</v>
      </c>
      <c r="J82" t="s">
        <v>79</v>
      </c>
      <c r="K82" s="5">
        <v>2895.3999999999996</v>
      </c>
      <c r="M82" t="s">
        <v>79</v>
      </c>
      <c r="N82">
        <f t="shared" si="0"/>
        <v>2904.6000000000004</v>
      </c>
    </row>
    <row r="83" spans="2:14" x14ac:dyDescent="0.3">
      <c r="B83" s="1">
        <v>44286</v>
      </c>
      <c r="G83" t="s">
        <v>80</v>
      </c>
      <c r="H83" s="5">
        <v>3049.7</v>
      </c>
      <c r="J83" t="s">
        <v>80</v>
      </c>
      <c r="K83" s="5">
        <v>2950.2999999999993</v>
      </c>
      <c r="M83" t="s">
        <v>80</v>
      </c>
      <c r="N83">
        <f t="shared" si="0"/>
        <v>3049.7</v>
      </c>
    </row>
    <row r="84" spans="2:14" x14ac:dyDescent="0.3">
      <c r="B84" s="1">
        <v>44287</v>
      </c>
      <c r="G84" t="s">
        <v>81</v>
      </c>
      <c r="H84" s="5">
        <v>3038.0000000000005</v>
      </c>
      <c r="J84" t="s">
        <v>81</v>
      </c>
      <c r="K84" s="5">
        <v>4302</v>
      </c>
      <c r="M84" t="s">
        <v>81</v>
      </c>
      <c r="N84">
        <f t="shared" si="0"/>
        <v>3038.0000000000005</v>
      </c>
    </row>
    <row r="85" spans="2:14" x14ac:dyDescent="0.3">
      <c r="B85" s="1">
        <v>44288</v>
      </c>
      <c r="G85" t="s">
        <v>82</v>
      </c>
      <c r="H85" s="5">
        <v>3116.1</v>
      </c>
      <c r="J85" t="s">
        <v>82</v>
      </c>
      <c r="K85" s="5">
        <v>2883.9</v>
      </c>
      <c r="M85" t="s">
        <v>82</v>
      </c>
      <c r="N85">
        <f t="shared" si="0"/>
        <v>3116.1</v>
      </c>
    </row>
    <row r="86" spans="2:14" x14ac:dyDescent="0.3">
      <c r="B86" s="1">
        <v>44289</v>
      </c>
      <c r="G86" t="s">
        <v>83</v>
      </c>
      <c r="H86" s="5">
        <v>3005.7</v>
      </c>
      <c r="J86" t="s">
        <v>83</v>
      </c>
      <c r="K86" s="5">
        <v>2094.3000000000002</v>
      </c>
      <c r="M86" t="s">
        <v>83</v>
      </c>
      <c r="N86">
        <f t="shared" si="0"/>
        <v>3005.7</v>
      </c>
    </row>
    <row r="87" spans="2:14" x14ac:dyDescent="0.3">
      <c r="B87" s="1">
        <v>44290</v>
      </c>
      <c r="G87" t="s">
        <v>84</v>
      </c>
      <c r="H87" s="5">
        <v>3065</v>
      </c>
      <c r="J87" t="s">
        <v>84</v>
      </c>
      <c r="K87" s="5">
        <v>2135</v>
      </c>
      <c r="M87" t="s">
        <v>84</v>
      </c>
      <c r="N87">
        <f t="shared" si="0"/>
        <v>3065</v>
      </c>
    </row>
    <row r="88" spans="2:14" x14ac:dyDescent="0.3">
      <c r="B88" s="1">
        <v>44291</v>
      </c>
      <c r="G88" t="s">
        <v>85</v>
      </c>
      <c r="H88" s="5">
        <v>2952.0999999999995</v>
      </c>
      <c r="J88" t="s">
        <v>85</v>
      </c>
      <c r="K88" s="5">
        <v>2847.9000000000005</v>
      </c>
      <c r="M88" t="s">
        <v>85</v>
      </c>
      <c r="N88">
        <f t="shared" si="0"/>
        <v>2952.0999999999995</v>
      </c>
    </row>
    <row r="89" spans="2:14" x14ac:dyDescent="0.3">
      <c r="B89" s="1">
        <v>44294</v>
      </c>
      <c r="G89" t="s">
        <v>86</v>
      </c>
      <c r="H89" s="5">
        <v>3087.1</v>
      </c>
      <c r="J89" t="s">
        <v>86</v>
      </c>
      <c r="K89" s="5">
        <v>2012.8999999999994</v>
      </c>
      <c r="M89" t="s">
        <v>86</v>
      </c>
      <c r="N89">
        <f t="shared" si="0"/>
        <v>3087.1</v>
      </c>
    </row>
    <row r="90" spans="2:14" x14ac:dyDescent="0.3">
      <c r="B90" s="1">
        <v>44295</v>
      </c>
      <c r="G90" t="s">
        <v>87</v>
      </c>
      <c r="H90" s="5">
        <v>3098.7</v>
      </c>
      <c r="J90" t="s">
        <v>87</v>
      </c>
      <c r="K90" s="5">
        <v>2001.3000000000002</v>
      </c>
      <c r="M90" t="s">
        <v>87</v>
      </c>
      <c r="N90">
        <f t="shared" si="0"/>
        <v>3098.7</v>
      </c>
    </row>
    <row r="91" spans="2:14" x14ac:dyDescent="0.3">
      <c r="B91" s="1">
        <v>44296</v>
      </c>
      <c r="G91" t="s">
        <v>67</v>
      </c>
      <c r="H91" s="5">
        <v>30190.999999999996</v>
      </c>
      <c r="J91" t="s">
        <v>67</v>
      </c>
      <c r="K91" s="5">
        <v>35249</v>
      </c>
    </row>
    <row r="92" spans="2:14" x14ac:dyDescent="0.3">
      <c r="B92" s="1">
        <v>44297</v>
      </c>
    </row>
    <row r="93" spans="2:14" x14ac:dyDescent="0.3">
      <c r="B93" s="1">
        <v>44298</v>
      </c>
    </row>
    <row r="94" spans="2:14" x14ac:dyDescent="0.3">
      <c r="B94" s="1">
        <v>44299</v>
      </c>
    </row>
    <row r="95" spans="2:14" x14ac:dyDescent="0.3">
      <c r="B95" s="1">
        <v>44300</v>
      </c>
    </row>
    <row r="96" spans="2:14" x14ac:dyDescent="0.3">
      <c r="B96" s="1">
        <v>44301</v>
      </c>
    </row>
    <row r="97" spans="2:13" x14ac:dyDescent="0.3">
      <c r="B97" s="1">
        <v>44302</v>
      </c>
    </row>
    <row r="98" spans="2:13" x14ac:dyDescent="0.3">
      <c r="B98" s="1">
        <v>44303</v>
      </c>
    </row>
    <row r="99" spans="2:13" x14ac:dyDescent="0.3">
      <c r="B99" s="1">
        <v>44304</v>
      </c>
    </row>
    <row r="100" spans="2:13" x14ac:dyDescent="0.3">
      <c r="B100" s="1">
        <v>44305</v>
      </c>
    </row>
    <row r="101" spans="2:13" x14ac:dyDescent="0.3">
      <c r="B101" s="1">
        <v>44306</v>
      </c>
    </row>
    <row r="102" spans="2:13" x14ac:dyDescent="0.3">
      <c r="B102" s="1">
        <v>44307</v>
      </c>
    </row>
    <row r="103" spans="2:13" x14ac:dyDescent="0.3">
      <c r="B103" s="1">
        <v>44308</v>
      </c>
    </row>
    <row r="104" spans="2:13" x14ac:dyDescent="0.3">
      <c r="B104" s="1">
        <v>44309</v>
      </c>
    </row>
    <row r="105" spans="2:13" x14ac:dyDescent="0.3">
      <c r="B105" s="1">
        <v>44310</v>
      </c>
    </row>
    <row r="106" spans="2:13" x14ac:dyDescent="0.3">
      <c r="B106" s="1">
        <v>44311</v>
      </c>
    </row>
    <row r="107" spans="2:13" x14ac:dyDescent="0.3">
      <c r="B107" s="1">
        <v>44312</v>
      </c>
    </row>
    <row r="108" spans="2:13" x14ac:dyDescent="0.3">
      <c r="B108" s="1">
        <v>44313</v>
      </c>
    </row>
    <row r="109" spans="2:13" x14ac:dyDescent="0.3">
      <c r="B109" s="1">
        <v>44314</v>
      </c>
      <c r="H109" s="3" t="s">
        <v>61</v>
      </c>
      <c r="J109" s="9">
        <v>1</v>
      </c>
      <c r="K109" s="9" t="s">
        <v>88</v>
      </c>
      <c r="M109" t="s">
        <v>99</v>
      </c>
    </row>
    <row r="110" spans="2:13" x14ac:dyDescent="0.3">
      <c r="B110" s="1">
        <v>44315</v>
      </c>
      <c r="H110">
        <v>1</v>
      </c>
      <c r="J110" s="9">
        <v>2</v>
      </c>
      <c r="K110" s="9" t="s">
        <v>89</v>
      </c>
      <c r="M110" t="str">
        <f>IF(COUNTA(H110:H119)=1,VLOOKUP(H110,J109:K120,2,0),"Multiple months selected")</f>
        <v>Multiple months selected</v>
      </c>
    </row>
    <row r="111" spans="2:13" x14ac:dyDescent="0.3">
      <c r="B111" s="1">
        <v>44316</v>
      </c>
      <c r="H111">
        <v>2</v>
      </c>
      <c r="J111" s="9">
        <v>3</v>
      </c>
      <c r="K111" s="9" t="s">
        <v>90</v>
      </c>
    </row>
    <row r="112" spans="2:13" x14ac:dyDescent="0.3">
      <c r="B112" s="1">
        <v>44318</v>
      </c>
      <c r="H112">
        <v>3</v>
      </c>
      <c r="J112" s="9">
        <v>4</v>
      </c>
      <c r="K112" s="9" t="s">
        <v>91</v>
      </c>
    </row>
    <row r="113" spans="2:11" x14ac:dyDescent="0.3">
      <c r="B113" s="1">
        <v>44319</v>
      </c>
      <c r="H113">
        <v>4</v>
      </c>
      <c r="J113" s="9">
        <v>5</v>
      </c>
      <c r="K113" s="9" t="s">
        <v>82</v>
      </c>
    </row>
    <row r="114" spans="2:11" x14ac:dyDescent="0.3">
      <c r="B114" s="1">
        <v>44320</v>
      </c>
      <c r="H114">
        <v>5</v>
      </c>
      <c r="J114" s="9">
        <v>6</v>
      </c>
      <c r="K114" s="9" t="s">
        <v>92</v>
      </c>
    </row>
    <row r="115" spans="2:11" x14ac:dyDescent="0.3">
      <c r="B115" s="1">
        <v>44321</v>
      </c>
      <c r="H115">
        <v>6</v>
      </c>
      <c r="J115" s="9">
        <v>7</v>
      </c>
      <c r="K115" s="9" t="s">
        <v>93</v>
      </c>
    </row>
    <row r="116" spans="2:11" x14ac:dyDescent="0.3">
      <c r="B116" s="1">
        <v>44322</v>
      </c>
      <c r="H116">
        <v>7</v>
      </c>
      <c r="J116" s="9">
        <v>8</v>
      </c>
      <c r="K116" s="9" t="s">
        <v>94</v>
      </c>
    </row>
    <row r="117" spans="2:11" x14ac:dyDescent="0.3">
      <c r="B117" s="1">
        <v>44325</v>
      </c>
      <c r="H117">
        <v>8</v>
      </c>
      <c r="J117" s="9">
        <v>9</v>
      </c>
      <c r="K117" s="9" t="s">
        <v>95</v>
      </c>
    </row>
    <row r="118" spans="2:11" x14ac:dyDescent="0.3">
      <c r="B118" s="1">
        <v>44326</v>
      </c>
      <c r="H118">
        <v>9</v>
      </c>
      <c r="J118" s="9">
        <v>10</v>
      </c>
      <c r="K118" s="9" t="s">
        <v>96</v>
      </c>
    </row>
    <row r="119" spans="2:11" x14ac:dyDescent="0.3">
      <c r="B119" s="1">
        <v>44327</v>
      </c>
      <c r="H119">
        <v>10</v>
      </c>
      <c r="J119" s="9">
        <v>11</v>
      </c>
      <c r="K119" s="9" t="s">
        <v>97</v>
      </c>
    </row>
    <row r="120" spans="2:11" x14ac:dyDescent="0.3">
      <c r="B120" s="1">
        <v>44328</v>
      </c>
      <c r="J120" s="9">
        <v>12</v>
      </c>
      <c r="K120" s="9" t="s">
        <v>98</v>
      </c>
    </row>
    <row r="121" spans="2:11" x14ac:dyDescent="0.3">
      <c r="B121" s="1">
        <v>44329</v>
      </c>
    </row>
    <row r="122" spans="2:11" x14ac:dyDescent="0.3">
      <c r="B122" s="1">
        <v>44330</v>
      </c>
    </row>
    <row r="123" spans="2:11" x14ac:dyDescent="0.3">
      <c r="B123" s="1">
        <v>44331</v>
      </c>
    </row>
    <row r="124" spans="2:11" x14ac:dyDescent="0.3">
      <c r="B124" s="1">
        <v>44332</v>
      </c>
    </row>
    <row r="125" spans="2:11" x14ac:dyDescent="0.3">
      <c r="B125" s="1">
        <v>44333</v>
      </c>
    </row>
    <row r="126" spans="2:11" x14ac:dyDescent="0.3">
      <c r="B126" s="1">
        <v>44334</v>
      </c>
    </row>
    <row r="127" spans="2:11" x14ac:dyDescent="0.3">
      <c r="B127" s="1">
        <v>44335</v>
      </c>
    </row>
    <row r="128" spans="2:11" x14ac:dyDescent="0.3">
      <c r="B128" s="1">
        <v>44336</v>
      </c>
    </row>
    <row r="129" spans="2:2" x14ac:dyDescent="0.3">
      <c r="B129" s="1">
        <v>44337</v>
      </c>
    </row>
    <row r="130" spans="2:2" x14ac:dyDescent="0.3">
      <c r="B130" s="1">
        <v>44338</v>
      </c>
    </row>
    <row r="131" spans="2:2" x14ac:dyDescent="0.3">
      <c r="B131" s="1">
        <v>44339</v>
      </c>
    </row>
    <row r="132" spans="2:2" x14ac:dyDescent="0.3">
      <c r="B132" s="1">
        <v>44340</v>
      </c>
    </row>
    <row r="133" spans="2:2" x14ac:dyDescent="0.3">
      <c r="B133" s="1">
        <v>44341</v>
      </c>
    </row>
    <row r="134" spans="2:2" x14ac:dyDescent="0.3">
      <c r="B134" s="1">
        <v>44342</v>
      </c>
    </row>
    <row r="135" spans="2:2" x14ac:dyDescent="0.3">
      <c r="B135" s="1">
        <v>44343</v>
      </c>
    </row>
    <row r="136" spans="2:2" x14ac:dyDescent="0.3">
      <c r="B136" s="1">
        <v>44344</v>
      </c>
    </row>
    <row r="137" spans="2:2" x14ac:dyDescent="0.3">
      <c r="B137" s="1">
        <v>44345</v>
      </c>
    </row>
    <row r="138" spans="2:2" x14ac:dyDescent="0.3">
      <c r="B138" s="1">
        <v>44347</v>
      </c>
    </row>
    <row r="139" spans="2:2" x14ac:dyDescent="0.3">
      <c r="B139" s="1">
        <v>44346</v>
      </c>
    </row>
    <row r="140" spans="2:2" x14ac:dyDescent="0.3">
      <c r="B140" s="1">
        <v>44348</v>
      </c>
    </row>
    <row r="141" spans="2:2" x14ac:dyDescent="0.3">
      <c r="B141" s="1">
        <v>44350</v>
      </c>
    </row>
    <row r="142" spans="2:2" x14ac:dyDescent="0.3">
      <c r="B142" s="1">
        <v>44351</v>
      </c>
    </row>
    <row r="143" spans="2:2" x14ac:dyDescent="0.3">
      <c r="B143" s="1">
        <v>44352</v>
      </c>
    </row>
    <row r="144" spans="2:2" x14ac:dyDescent="0.3">
      <c r="B144" s="1">
        <v>44353</v>
      </c>
    </row>
    <row r="145" spans="2:2" x14ac:dyDescent="0.3">
      <c r="B145" s="1">
        <v>44356</v>
      </c>
    </row>
    <row r="146" spans="2:2" x14ac:dyDescent="0.3">
      <c r="B146" s="1">
        <v>44357</v>
      </c>
    </row>
    <row r="147" spans="2:2" x14ac:dyDescent="0.3">
      <c r="B147" s="1">
        <v>44358</v>
      </c>
    </row>
    <row r="148" spans="2:2" x14ac:dyDescent="0.3">
      <c r="B148" s="1">
        <v>44359</v>
      </c>
    </row>
    <row r="149" spans="2:2" x14ac:dyDescent="0.3">
      <c r="B149" s="1">
        <v>44360</v>
      </c>
    </row>
    <row r="150" spans="2:2" x14ac:dyDescent="0.3">
      <c r="B150" s="1">
        <v>44361</v>
      </c>
    </row>
    <row r="151" spans="2:2" x14ac:dyDescent="0.3">
      <c r="B151" s="1">
        <v>44362</v>
      </c>
    </row>
    <row r="152" spans="2:2" x14ac:dyDescent="0.3">
      <c r="B152" s="1">
        <v>44363</v>
      </c>
    </row>
    <row r="153" spans="2:2" x14ac:dyDescent="0.3">
      <c r="B153" s="1">
        <v>44364</v>
      </c>
    </row>
    <row r="154" spans="2:2" x14ac:dyDescent="0.3">
      <c r="B154" s="1">
        <v>44365</v>
      </c>
    </row>
    <row r="155" spans="2:2" x14ac:dyDescent="0.3">
      <c r="B155" s="1">
        <v>44366</v>
      </c>
    </row>
    <row r="156" spans="2:2" x14ac:dyDescent="0.3">
      <c r="B156" s="1">
        <v>44367</v>
      </c>
    </row>
    <row r="157" spans="2:2" x14ac:dyDescent="0.3">
      <c r="B157" s="1">
        <v>44368</v>
      </c>
    </row>
    <row r="158" spans="2:2" x14ac:dyDescent="0.3">
      <c r="B158" s="1">
        <v>44369</v>
      </c>
    </row>
    <row r="159" spans="2:2" x14ac:dyDescent="0.3">
      <c r="B159" s="1">
        <v>44370</v>
      </c>
    </row>
    <row r="160" spans="2:2" x14ac:dyDescent="0.3">
      <c r="B160" s="1">
        <v>44371</v>
      </c>
    </row>
    <row r="161" spans="2:2" x14ac:dyDescent="0.3">
      <c r="B161" s="1">
        <v>44372</v>
      </c>
    </row>
    <row r="162" spans="2:2" x14ac:dyDescent="0.3">
      <c r="B162" s="1">
        <v>44373</v>
      </c>
    </row>
    <row r="163" spans="2:2" x14ac:dyDescent="0.3">
      <c r="B163" s="1">
        <v>44374</v>
      </c>
    </row>
    <row r="164" spans="2:2" x14ac:dyDescent="0.3">
      <c r="B164" s="1">
        <v>44375</v>
      </c>
    </row>
    <row r="165" spans="2:2" x14ac:dyDescent="0.3">
      <c r="B165" s="1">
        <v>44376</v>
      </c>
    </row>
    <row r="166" spans="2:2" x14ac:dyDescent="0.3">
      <c r="B166" s="1">
        <v>44377</v>
      </c>
    </row>
    <row r="167" spans="2:2" x14ac:dyDescent="0.3">
      <c r="B167" s="1">
        <v>44378</v>
      </c>
    </row>
    <row r="168" spans="2:2" x14ac:dyDescent="0.3">
      <c r="B168" s="1">
        <v>44379</v>
      </c>
    </row>
    <row r="169" spans="2:2" x14ac:dyDescent="0.3">
      <c r="B169" s="1">
        <v>44380</v>
      </c>
    </row>
    <row r="170" spans="2:2" x14ac:dyDescent="0.3">
      <c r="B170" s="1">
        <v>44382</v>
      </c>
    </row>
    <row r="171" spans="2:2" x14ac:dyDescent="0.3">
      <c r="B171" s="1">
        <v>44383</v>
      </c>
    </row>
    <row r="172" spans="2:2" x14ac:dyDescent="0.3">
      <c r="B172" s="1">
        <v>44384</v>
      </c>
    </row>
    <row r="173" spans="2:2" x14ac:dyDescent="0.3">
      <c r="B173" s="1">
        <v>44387</v>
      </c>
    </row>
    <row r="174" spans="2:2" x14ac:dyDescent="0.3">
      <c r="B174" s="1">
        <v>44388</v>
      </c>
    </row>
    <row r="175" spans="2:2" x14ac:dyDescent="0.3">
      <c r="B175" s="1">
        <v>44389</v>
      </c>
    </row>
    <row r="176" spans="2:2" x14ac:dyDescent="0.3">
      <c r="B176" s="1">
        <v>44390</v>
      </c>
    </row>
    <row r="177" spans="2:2" x14ac:dyDescent="0.3">
      <c r="B177" s="1">
        <v>44391</v>
      </c>
    </row>
    <row r="178" spans="2:2" x14ac:dyDescent="0.3">
      <c r="B178" s="1">
        <v>44392</v>
      </c>
    </row>
    <row r="179" spans="2:2" x14ac:dyDescent="0.3">
      <c r="B179" s="1">
        <v>44393</v>
      </c>
    </row>
    <row r="180" spans="2:2" x14ac:dyDescent="0.3">
      <c r="B180" s="1">
        <v>44394</v>
      </c>
    </row>
    <row r="181" spans="2:2" x14ac:dyDescent="0.3">
      <c r="B181" s="1">
        <v>44395</v>
      </c>
    </row>
    <row r="182" spans="2:2" x14ac:dyDescent="0.3">
      <c r="B182" s="1">
        <v>44396</v>
      </c>
    </row>
    <row r="183" spans="2:2" x14ac:dyDescent="0.3">
      <c r="B183" s="1">
        <v>44397</v>
      </c>
    </row>
    <row r="184" spans="2:2" x14ac:dyDescent="0.3">
      <c r="B184" s="1">
        <v>44398</v>
      </c>
    </row>
    <row r="185" spans="2:2" x14ac:dyDescent="0.3">
      <c r="B185" s="1">
        <v>44399</v>
      </c>
    </row>
    <row r="186" spans="2:2" x14ac:dyDescent="0.3">
      <c r="B186" s="1">
        <v>44400</v>
      </c>
    </row>
    <row r="187" spans="2:2" x14ac:dyDescent="0.3">
      <c r="B187" s="1">
        <v>44401</v>
      </c>
    </row>
    <row r="188" spans="2:2" x14ac:dyDescent="0.3">
      <c r="B188" s="1">
        <v>44402</v>
      </c>
    </row>
    <row r="189" spans="2:2" x14ac:dyDescent="0.3">
      <c r="B189" s="1">
        <v>44403</v>
      </c>
    </row>
    <row r="190" spans="2:2" x14ac:dyDescent="0.3">
      <c r="B190" s="1">
        <v>44404</v>
      </c>
    </row>
    <row r="191" spans="2:2" x14ac:dyDescent="0.3">
      <c r="B191" s="1">
        <v>44405</v>
      </c>
    </row>
    <row r="192" spans="2:2" x14ac:dyDescent="0.3">
      <c r="B192" s="1">
        <v>44406</v>
      </c>
    </row>
    <row r="193" spans="2:2" x14ac:dyDescent="0.3">
      <c r="B193" s="1">
        <v>44407</v>
      </c>
    </row>
    <row r="194" spans="2:2" x14ac:dyDescent="0.3">
      <c r="B194" s="1">
        <v>44408</v>
      </c>
    </row>
    <row r="195" spans="2:2" x14ac:dyDescent="0.3">
      <c r="B195" s="1">
        <v>44410</v>
      </c>
    </row>
    <row r="196" spans="2:2" x14ac:dyDescent="0.3">
      <c r="B196" s="1">
        <v>44411</v>
      </c>
    </row>
    <row r="197" spans="2:2" x14ac:dyDescent="0.3">
      <c r="B197" s="1">
        <v>44413</v>
      </c>
    </row>
    <row r="198" spans="2:2" x14ac:dyDescent="0.3">
      <c r="B198" s="1">
        <v>44414</v>
      </c>
    </row>
    <row r="199" spans="2:2" x14ac:dyDescent="0.3">
      <c r="B199" s="1">
        <v>44415</v>
      </c>
    </row>
    <row r="200" spans="2:2" x14ac:dyDescent="0.3">
      <c r="B200" s="1">
        <v>44418</v>
      </c>
    </row>
    <row r="201" spans="2:2" x14ac:dyDescent="0.3">
      <c r="B201" s="1">
        <v>44419</v>
      </c>
    </row>
    <row r="202" spans="2:2" x14ac:dyDescent="0.3">
      <c r="B202" s="1">
        <v>44420</v>
      </c>
    </row>
    <row r="203" spans="2:2" x14ac:dyDescent="0.3">
      <c r="B203" s="1">
        <v>44421</v>
      </c>
    </row>
    <row r="204" spans="2:2" x14ac:dyDescent="0.3">
      <c r="B204" s="1">
        <v>44422</v>
      </c>
    </row>
    <row r="205" spans="2:2" x14ac:dyDescent="0.3">
      <c r="B205" s="1">
        <v>44423</v>
      </c>
    </row>
    <row r="206" spans="2:2" x14ac:dyDescent="0.3">
      <c r="B206" s="1">
        <v>44424</v>
      </c>
    </row>
    <row r="207" spans="2:2" x14ac:dyDescent="0.3">
      <c r="B207" s="1">
        <v>44425</v>
      </c>
    </row>
    <row r="208" spans="2:2" x14ac:dyDescent="0.3">
      <c r="B208" s="1">
        <v>44426</v>
      </c>
    </row>
    <row r="209" spans="2:2" x14ac:dyDescent="0.3">
      <c r="B209" s="1">
        <v>44427</v>
      </c>
    </row>
    <row r="210" spans="2:2" x14ac:dyDescent="0.3">
      <c r="B210" s="1">
        <v>44428</v>
      </c>
    </row>
    <row r="211" spans="2:2" x14ac:dyDescent="0.3">
      <c r="B211" s="1">
        <v>44429</v>
      </c>
    </row>
    <row r="212" spans="2:2" x14ac:dyDescent="0.3">
      <c r="B212" s="1">
        <v>44430</v>
      </c>
    </row>
    <row r="213" spans="2:2" x14ac:dyDescent="0.3">
      <c r="B213" s="1">
        <v>44431</v>
      </c>
    </row>
    <row r="214" spans="2:2" x14ac:dyDescent="0.3">
      <c r="B214" s="1">
        <v>44432</v>
      </c>
    </row>
    <row r="215" spans="2:2" x14ac:dyDescent="0.3">
      <c r="B215" s="1">
        <v>44433</v>
      </c>
    </row>
    <row r="216" spans="2:2" x14ac:dyDescent="0.3">
      <c r="B216" s="1">
        <v>44434</v>
      </c>
    </row>
    <row r="217" spans="2:2" x14ac:dyDescent="0.3">
      <c r="B217" s="1">
        <v>44435</v>
      </c>
    </row>
    <row r="218" spans="2:2" x14ac:dyDescent="0.3">
      <c r="B218" s="1">
        <v>44436</v>
      </c>
    </row>
    <row r="219" spans="2:2" x14ac:dyDescent="0.3">
      <c r="B219" s="1">
        <v>44437</v>
      </c>
    </row>
    <row r="220" spans="2:2" x14ac:dyDescent="0.3">
      <c r="B220" s="1">
        <v>44438</v>
      </c>
    </row>
    <row r="221" spans="2:2" x14ac:dyDescent="0.3">
      <c r="B221" s="1">
        <v>44439</v>
      </c>
    </row>
    <row r="222" spans="2:2" x14ac:dyDescent="0.3">
      <c r="B222" s="1">
        <v>44441</v>
      </c>
    </row>
    <row r="223" spans="2:2" x14ac:dyDescent="0.3">
      <c r="B223" s="1">
        <v>44442</v>
      </c>
    </row>
    <row r="224" spans="2:2" x14ac:dyDescent="0.3">
      <c r="B224" s="1">
        <v>44444</v>
      </c>
    </row>
    <row r="225" spans="2:2" x14ac:dyDescent="0.3">
      <c r="B225" s="1">
        <v>44445</v>
      </c>
    </row>
    <row r="226" spans="2:2" x14ac:dyDescent="0.3">
      <c r="B226" s="1">
        <v>44446</v>
      </c>
    </row>
    <row r="227" spans="2:2" x14ac:dyDescent="0.3">
      <c r="B227" s="1">
        <v>44449</v>
      </c>
    </row>
    <row r="228" spans="2:2" x14ac:dyDescent="0.3">
      <c r="B228" s="1">
        <v>44450</v>
      </c>
    </row>
    <row r="229" spans="2:2" x14ac:dyDescent="0.3">
      <c r="B229" s="1">
        <v>44451</v>
      </c>
    </row>
    <row r="230" spans="2:2" x14ac:dyDescent="0.3">
      <c r="B230" s="1">
        <v>44452</v>
      </c>
    </row>
    <row r="231" spans="2:2" x14ac:dyDescent="0.3">
      <c r="B231" s="1">
        <v>44453</v>
      </c>
    </row>
    <row r="232" spans="2:2" x14ac:dyDescent="0.3">
      <c r="B232" s="1">
        <v>44454</v>
      </c>
    </row>
    <row r="233" spans="2:2" x14ac:dyDescent="0.3">
      <c r="B233" s="1">
        <v>44455</v>
      </c>
    </row>
    <row r="234" spans="2:2" x14ac:dyDescent="0.3">
      <c r="B234" s="1">
        <v>44456</v>
      </c>
    </row>
    <row r="235" spans="2:2" x14ac:dyDescent="0.3">
      <c r="B235" s="1">
        <v>44457</v>
      </c>
    </row>
    <row r="236" spans="2:2" x14ac:dyDescent="0.3">
      <c r="B236" s="1">
        <v>44458</v>
      </c>
    </row>
    <row r="237" spans="2:2" x14ac:dyDescent="0.3">
      <c r="B237" s="1">
        <v>44459</v>
      </c>
    </row>
    <row r="238" spans="2:2" x14ac:dyDescent="0.3">
      <c r="B238" s="1">
        <v>44460</v>
      </c>
    </row>
    <row r="239" spans="2:2" x14ac:dyDescent="0.3">
      <c r="B239" s="1">
        <v>44461</v>
      </c>
    </row>
    <row r="240" spans="2:2" x14ac:dyDescent="0.3">
      <c r="B240" s="1">
        <v>44462</v>
      </c>
    </row>
    <row r="241" spans="2:2" x14ac:dyDescent="0.3">
      <c r="B241" s="1">
        <v>44463</v>
      </c>
    </row>
    <row r="242" spans="2:2" x14ac:dyDescent="0.3">
      <c r="B242" s="1">
        <v>44464</v>
      </c>
    </row>
    <row r="243" spans="2:2" x14ac:dyDescent="0.3">
      <c r="B243" s="1">
        <v>44465</v>
      </c>
    </row>
    <row r="244" spans="2:2" x14ac:dyDescent="0.3">
      <c r="B244" s="1">
        <v>44466</v>
      </c>
    </row>
    <row r="245" spans="2:2" x14ac:dyDescent="0.3">
      <c r="B245" s="1">
        <v>44467</v>
      </c>
    </row>
    <row r="246" spans="2:2" x14ac:dyDescent="0.3">
      <c r="B246" s="1">
        <v>44468</v>
      </c>
    </row>
    <row r="247" spans="2:2" x14ac:dyDescent="0.3">
      <c r="B247" s="1">
        <v>44469</v>
      </c>
    </row>
    <row r="248" spans="2:2" x14ac:dyDescent="0.3">
      <c r="B248" s="1">
        <v>44470</v>
      </c>
    </row>
    <row r="249" spans="2:2" x14ac:dyDescent="0.3">
      <c r="B249" s="1">
        <v>44472</v>
      </c>
    </row>
    <row r="250" spans="2:2" x14ac:dyDescent="0.3">
      <c r="B250" s="1">
        <v>44473</v>
      </c>
    </row>
    <row r="251" spans="2:2" x14ac:dyDescent="0.3">
      <c r="B251" s="1">
        <v>44475</v>
      </c>
    </row>
    <row r="252" spans="2:2" x14ac:dyDescent="0.3">
      <c r="B252" s="1">
        <v>44476</v>
      </c>
    </row>
    <row r="253" spans="2:2" x14ac:dyDescent="0.3">
      <c r="B253" s="1">
        <v>44477</v>
      </c>
    </row>
    <row r="254" spans="2:2" x14ac:dyDescent="0.3">
      <c r="B254" s="1">
        <v>44480</v>
      </c>
    </row>
    <row r="255" spans="2:2" x14ac:dyDescent="0.3">
      <c r="B255" s="1">
        <v>44481</v>
      </c>
    </row>
    <row r="256" spans="2:2" x14ac:dyDescent="0.3">
      <c r="B256" s="1">
        <v>44482</v>
      </c>
    </row>
    <row r="257" spans="2:2" x14ac:dyDescent="0.3">
      <c r="B257" s="1">
        <v>44483</v>
      </c>
    </row>
    <row r="258" spans="2:2" x14ac:dyDescent="0.3">
      <c r="B258" s="1">
        <v>44484</v>
      </c>
    </row>
    <row r="259" spans="2:2" x14ac:dyDescent="0.3">
      <c r="B259" s="1">
        <v>44485</v>
      </c>
    </row>
    <row r="260" spans="2:2" x14ac:dyDescent="0.3">
      <c r="B260" s="1">
        <v>44486</v>
      </c>
    </row>
    <row r="261" spans="2:2" x14ac:dyDescent="0.3">
      <c r="B261" s="1">
        <v>44487</v>
      </c>
    </row>
    <row r="262" spans="2:2" x14ac:dyDescent="0.3">
      <c r="B262" s="1">
        <v>44488</v>
      </c>
    </row>
    <row r="263" spans="2:2" x14ac:dyDescent="0.3">
      <c r="B263" s="1">
        <v>44489</v>
      </c>
    </row>
    <row r="264" spans="2:2" x14ac:dyDescent="0.3">
      <c r="B264" s="1">
        <v>44490</v>
      </c>
    </row>
    <row r="265" spans="2:2" x14ac:dyDescent="0.3">
      <c r="B265" s="1">
        <v>44491</v>
      </c>
    </row>
    <row r="266" spans="2:2" x14ac:dyDescent="0.3">
      <c r="B266" s="1">
        <v>44492</v>
      </c>
    </row>
    <row r="267" spans="2:2" x14ac:dyDescent="0.3">
      <c r="B267" s="1">
        <v>44493</v>
      </c>
    </row>
    <row r="268" spans="2:2" x14ac:dyDescent="0.3">
      <c r="B268" s="1">
        <v>44494</v>
      </c>
    </row>
    <row r="269" spans="2:2" x14ac:dyDescent="0.3">
      <c r="B269" s="1">
        <v>44495</v>
      </c>
    </row>
    <row r="270" spans="2:2" x14ac:dyDescent="0.3">
      <c r="B270" s="1">
        <v>44496</v>
      </c>
    </row>
    <row r="271" spans="2:2" x14ac:dyDescent="0.3">
      <c r="B271" s="1">
        <v>44497</v>
      </c>
    </row>
    <row r="272" spans="2:2" x14ac:dyDescent="0.3">
      <c r="B272" s="1">
        <v>44498</v>
      </c>
    </row>
    <row r="273" spans="2:2" x14ac:dyDescent="0.3">
      <c r="B273" s="1">
        <v>44499</v>
      </c>
    </row>
    <row r="274" spans="2:2" x14ac:dyDescent="0.3">
      <c r="B274" s="1">
        <v>44500</v>
      </c>
    </row>
  </sheetData>
  <hyperlinks>
    <hyperlink ref="A1" location="Dashboard!A1" display="Back To Dashboard" xr:uid="{8D0004AB-BD5D-48CD-AEB7-8B6609562014}"/>
  </hyperlinks>
  <pageMargins left="0.7" right="0.7" top="0.75" bottom="0.75" header="0.3" footer="0.3"/>
  <drawing r:id="rId10"/>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F1C8A-F261-4D70-AD4B-CF7FEC9F9D23}">
  <dimension ref="A1"/>
  <sheetViews>
    <sheetView workbookViewId="0">
      <selection activeCell="K18" sqref="K18"/>
    </sheetView>
  </sheetViews>
  <sheetFormatPr defaultRowHeight="14.4" x14ac:dyDescent="0.3"/>
  <cols>
    <col min="1" max="16384" width="8.88671875" style="1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Dataset</vt:lpstr>
      <vt:lpstr>Dashboard</vt:lpstr>
      <vt:lpstr>Analysis</vt:lpstr>
      <vt:lpstr>Icons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Jayita Chatterjee</cp:lastModifiedBy>
  <cp:lastPrinted>2024-07-17T19:52:31Z</cp:lastPrinted>
  <dcterms:created xsi:type="dcterms:W3CDTF">2021-12-12T19:13:53Z</dcterms:created>
  <dcterms:modified xsi:type="dcterms:W3CDTF">2024-07-18T20:15:26Z</dcterms:modified>
</cp:coreProperties>
</file>